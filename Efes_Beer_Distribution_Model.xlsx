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nhf\Downloads\"/>
    </mc:Choice>
  </mc:AlternateContent>
  <xr:revisionPtr revIDLastSave="0" documentId="8_{391936B2-16AD-49CF-ACCC-6DB5DE70E89D}" xr6:coauthVersionLast="47" xr6:coauthVersionMax="47" xr10:uidLastSave="{00000000-0000-0000-0000-000000000000}"/>
  <bookViews>
    <workbookView xWindow="30390" yWindow="795" windowWidth="27555" windowHeight="14610" firstSheet="5" activeTab="10" xr2:uid="{00000000-000D-0000-FFFF-FFFF00000000}"/>
  </bookViews>
  <sheets>
    <sheet name="Sensitivity Report 1" sheetId="1" r:id="rId1"/>
    <sheet name="Sensitivity Report 2" sheetId="13" r:id="rId2"/>
    <sheet name="Current" sheetId="2" r:id="rId3"/>
    <sheet name="LongTermData" sheetId="3" r:id="rId4"/>
    <sheet name="Current_STS" sheetId="4" state="veryHidden" r:id="rId5"/>
    <sheet name="LongTermModel" sheetId="5" r:id="rId6"/>
    <sheet name="LongTermModel (2)" sheetId="7" r:id="rId7"/>
    <sheet name="LongTermModel (3)" sheetId="8" r:id="rId8"/>
    <sheet name="LongTermModel (4)" sheetId="9" r:id="rId9"/>
    <sheet name="LongTermModel (5)" sheetId="10" r:id="rId10"/>
    <sheet name="LongTermModel (6)" sheetId="11" r:id="rId11"/>
    <sheet name="LongTermModel (7)" sheetId="12" r:id="rId12"/>
    <sheet name="LongTermModel_STS" sheetId="6" state="veryHidden" r:id="rId13"/>
  </sheets>
  <definedNames>
    <definedName name="sencount" hidden="1">2</definedName>
    <definedName name="solver_adj" localSheetId="2" hidden="1">Current!$C$43:$D$45,Current!$C$51:$I$52</definedName>
    <definedName name="solver_adj" localSheetId="5" hidden="1">LongTermModel!$C$4:$J$6,LongTermModel!$C$11:$I$18,LongTermModel!$N$5:$O$10</definedName>
    <definedName name="solver_adj" localSheetId="6" hidden="1">'LongTermModel (2)'!$C$4:$J$6,'LongTermModel (2)'!$C$11:$I$18,'LongTermModel (2)'!$N$5:$O$10</definedName>
    <definedName name="solver_adj" localSheetId="7" hidden="1">'LongTermModel (3)'!$C$4:$J$6,'LongTermModel (3)'!$C$11:$I$18,'LongTermModel (3)'!$N$5:$O$10</definedName>
    <definedName name="solver_adj" localSheetId="8" hidden="1">'LongTermModel (4)'!$C$4:$J$6,'LongTermModel (4)'!$C$11:$I$18,'LongTermModel (4)'!$N$5:$O$10</definedName>
    <definedName name="solver_adj" localSheetId="9" hidden="1">'LongTermModel (5)'!$C$4:$J$6,'LongTermModel (5)'!$C$11:$I$18,'LongTermModel (5)'!$N$5:$O$10</definedName>
    <definedName name="solver_adj" localSheetId="10" hidden="1">'LongTermModel (6)'!$C$4:$J$6,'LongTermModel (6)'!$C$11:$I$18,'LongTermModel (6)'!$N$5:$O$10</definedName>
    <definedName name="solver_adj" localSheetId="11" hidden="1">'LongTermModel (7)'!$C$4:$J$6,'LongTermModel (7)'!$C$11:$I$18,'LongTermModel (7)'!$N$5:$O$10</definedName>
    <definedName name="solver_cvg" localSheetId="2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drv" localSheetId="2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eng" localSheetId="2" hidden="1">2</definedName>
    <definedName name="solver_eng" localSheetId="5" hidden="1">2</definedName>
    <definedName name="solver_eng" localSheetId="6" hidden="1">2</definedName>
    <definedName name="solver_eng" localSheetId="7" hidden="1">2</definedName>
    <definedName name="solver_eng" localSheetId="8" hidden="1">2</definedName>
    <definedName name="solver_eng" localSheetId="9" hidden="1">2</definedName>
    <definedName name="solver_eng" localSheetId="10" hidden="1">2</definedName>
    <definedName name="solver_eng" localSheetId="11" hidden="1">2</definedName>
    <definedName name="solver_est" localSheetId="2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itr" localSheetId="2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lhs1" localSheetId="2" hidden="1">Current!$C$47:$D$47</definedName>
    <definedName name="solver_lhs1" localSheetId="5" hidden="1">LongTermModel!$C$20:$I$20</definedName>
    <definedName name="solver_lhs1" localSheetId="6" hidden="1">'LongTermModel (2)'!$C$20:$I$20</definedName>
    <definedName name="solver_lhs1" localSheetId="7" hidden="1">'LongTermModel (3)'!$C$20:$I$20</definedName>
    <definedName name="solver_lhs1" localSheetId="8" hidden="1">'LongTermModel (4)'!$C$20:$I$20</definedName>
    <definedName name="solver_lhs1" localSheetId="9" hidden="1">'LongTermModel (5)'!$C$20:$I$20</definedName>
    <definedName name="solver_lhs1" localSheetId="10" hidden="1">'LongTermModel (6)'!$C$20:$I$20</definedName>
    <definedName name="solver_lhs1" localSheetId="11" hidden="1">'LongTermModel (7)'!$C$20:$I$20</definedName>
    <definedName name="solver_lhs2" localSheetId="2" hidden="1">Current!$C$53:$I$53</definedName>
    <definedName name="solver_lhs2" localSheetId="5" hidden="1">LongTermModel!$D$27:$D$34</definedName>
    <definedName name="solver_lhs2" localSheetId="6" hidden="1">'LongTermModel (2)'!$D$27:$D$34</definedName>
    <definedName name="solver_lhs2" localSheetId="7" hidden="1">'LongTermModel (3)'!$D$27:$D$34</definedName>
    <definedName name="solver_lhs2" localSheetId="8" hidden="1">'LongTermModel (4)'!$D$27:$D$34</definedName>
    <definedName name="solver_lhs2" localSheetId="9" hidden="1">'LongTermModel (5)'!$D$27:$D$34</definedName>
    <definedName name="solver_lhs2" localSheetId="10" hidden="1">'LongTermModel (6)'!$D$27:$D$34</definedName>
    <definedName name="solver_lhs2" localSheetId="11" hidden="1">'LongTermModel (7)'!$D$27:$D$34</definedName>
    <definedName name="solver_lhs3" localSheetId="2" hidden="1">Current!$E$43:$E$45</definedName>
    <definedName name="solver_lhs3" localSheetId="5" hidden="1">LongTermModel!$D$27:$D$34</definedName>
    <definedName name="solver_lhs3" localSheetId="6" hidden="1">'LongTermModel (2)'!$D$27:$D$34</definedName>
    <definedName name="solver_lhs3" localSheetId="7" hidden="1">'LongTermModel (3)'!$D$27:$D$34</definedName>
    <definedName name="solver_lhs3" localSheetId="8" hidden="1">'LongTermModel (4)'!$D$27:$D$34</definedName>
    <definedName name="solver_lhs3" localSheetId="9" hidden="1">'LongTermModel (5)'!$D$27:$D$34</definedName>
    <definedName name="solver_lhs3" localSheetId="10" hidden="1">'LongTermModel (6)'!$D$27:$D$34</definedName>
    <definedName name="solver_lhs3" localSheetId="11" hidden="1">'LongTermModel (7)'!$D$27:$D$34</definedName>
    <definedName name="solver_lhs4" localSheetId="2" hidden="1">Current!$J$51:$J$52</definedName>
    <definedName name="solver_lhs4" localSheetId="5" hidden="1">LongTermModel!$L$4:$L$6</definedName>
    <definedName name="solver_lhs4" localSheetId="6" hidden="1">'LongTermModel (2)'!$L$4:$L$6</definedName>
    <definedName name="solver_lhs4" localSheetId="7" hidden="1">'LongTermModel (3)'!$L$4:$L$6</definedName>
    <definedName name="solver_lhs4" localSheetId="8" hidden="1">'LongTermModel (4)'!$L$4:$L$6</definedName>
    <definedName name="solver_lhs4" localSheetId="9" hidden="1">'LongTermModel (5)'!$L$4:$L$6</definedName>
    <definedName name="solver_lhs4" localSheetId="10" hidden="1">'LongTermModel (6)'!$L$4:$L$6</definedName>
    <definedName name="solver_lhs4" localSheetId="11" hidden="1">'LongTermModel (7)'!$L$4:$L$6</definedName>
    <definedName name="solver_lhs5" localSheetId="5" hidden="1">LongTermModel!$N$5:$O$10</definedName>
    <definedName name="solver_lhs5" localSheetId="6" hidden="1">'LongTermModel (2)'!$N$10</definedName>
    <definedName name="solver_lhs5" localSheetId="7" hidden="1">'LongTermModel (3)'!$N$10</definedName>
    <definedName name="solver_lhs5" localSheetId="8" hidden="1">'LongTermModel (4)'!$N$5:$O$10</definedName>
    <definedName name="solver_lhs5" localSheetId="9" hidden="1">'LongTermModel (5)'!$N$5:$O$10</definedName>
    <definedName name="solver_lhs5" localSheetId="10" hidden="1">'LongTermModel (6)'!$N$5:$O$10</definedName>
    <definedName name="solver_lhs5" localSheetId="11" hidden="1">'LongTermModel (7)'!$N$10</definedName>
    <definedName name="solver_lhs6" localSheetId="5" hidden="1">LongTermModel!$O$5:$O$10</definedName>
    <definedName name="solver_lhs6" localSheetId="6" hidden="1">'LongTermModel (2)'!$N$5:$O$10</definedName>
    <definedName name="solver_lhs6" localSheetId="7" hidden="1">'LongTermModel (3)'!$N$5:$O$10</definedName>
    <definedName name="solver_lhs6" localSheetId="8" hidden="1">'LongTermModel (4)'!$O$5</definedName>
    <definedName name="solver_lhs6" localSheetId="9" hidden="1">'LongTermModel (5)'!$N$6:$N$10</definedName>
    <definedName name="solver_lhs6" localSheetId="10" hidden="1">'LongTermModel (6)'!$N$8</definedName>
    <definedName name="solver_lhs6" localSheetId="11" hidden="1">'LongTermModel (7)'!$N$5:$O$10</definedName>
    <definedName name="solver_lhs7" localSheetId="6" hidden="1">'LongTermModel (2)'!$O$5:$O$10</definedName>
    <definedName name="solver_lhs7" localSheetId="7" hidden="1">'LongTermModel (3)'!$N$6</definedName>
    <definedName name="solver_lhs7" localSheetId="8" hidden="1">'LongTermModel (4)'!$O$5:$O$10</definedName>
    <definedName name="solver_lhs7" localSheetId="9" hidden="1">'LongTermModel (5)'!$O$5:$O$10</definedName>
    <definedName name="solver_lhs7" localSheetId="10" hidden="1">'LongTermModel (6)'!$O$5:$O$10</definedName>
    <definedName name="solver_lhs7" localSheetId="11" hidden="1">'LongTermModel (7)'!$N$8</definedName>
    <definedName name="solver_lhs8" localSheetId="7" hidden="1">'LongTermModel (3)'!$O$5:$O$10</definedName>
    <definedName name="solver_lhs8" localSheetId="11" hidden="1">'LongTermModel (7)'!$O$5:$O$10</definedName>
    <definedName name="solver_lin" localSheetId="2" hidden="1">1</definedName>
    <definedName name="solver_mip" localSheetId="2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ni" localSheetId="2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rt" localSheetId="2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sl" localSheetId="2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neg" localSheetId="2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od" localSheetId="2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um" localSheetId="2" hidden="1">4</definedName>
    <definedName name="solver_num" localSheetId="5" hidden="1">6</definedName>
    <definedName name="solver_num" localSheetId="6" hidden="1">7</definedName>
    <definedName name="solver_num" localSheetId="7" hidden="1">8</definedName>
    <definedName name="solver_num" localSheetId="8" hidden="1">7</definedName>
    <definedName name="solver_num" localSheetId="9" hidden="1">7</definedName>
    <definedName name="solver_num" localSheetId="10" hidden="1">7</definedName>
    <definedName name="solver_num" localSheetId="11" hidden="1">8</definedName>
    <definedName name="solver_nwt" localSheetId="2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opt" localSheetId="2" hidden="1">Current!$K$55</definedName>
    <definedName name="solver_opt" localSheetId="5" hidden="1">LongTermModel!$B$41</definedName>
    <definedName name="solver_opt" localSheetId="6" hidden="1">'LongTermModel (2)'!$B$41</definedName>
    <definedName name="solver_opt" localSheetId="7" hidden="1">'LongTermModel (3)'!$B$41</definedName>
    <definedName name="solver_opt" localSheetId="8" hidden="1">'LongTermModel (4)'!$B$41</definedName>
    <definedName name="solver_opt" localSheetId="9" hidden="1">'LongTermModel (5)'!$B$41</definedName>
    <definedName name="solver_opt" localSheetId="10" hidden="1">'LongTermModel (6)'!$B$41</definedName>
    <definedName name="solver_opt" localSheetId="11" hidden="1">'LongTermModel (7)'!$B$41</definedName>
    <definedName name="solver_pre" localSheetId="2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rbv" localSheetId="2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el1" localSheetId="2" hidden="1">2</definedName>
    <definedName name="solver_rel1" localSheetId="5" hidden="1">2</definedName>
    <definedName name="solver_rel1" localSheetId="6" hidden="1">2</definedName>
    <definedName name="solver_rel1" localSheetId="7" hidden="1">2</definedName>
    <definedName name="solver_rel1" localSheetId="8" hidden="1">2</definedName>
    <definedName name="solver_rel1" localSheetId="9" hidden="1">2</definedName>
    <definedName name="solver_rel1" localSheetId="10" hidden="1">2</definedName>
    <definedName name="solver_rel1" localSheetId="11" hidden="1">2</definedName>
    <definedName name="solver_rel2" localSheetId="2" hidden="1">2</definedName>
    <definedName name="solver_rel2" localSheetId="5" hidden="1">1</definedName>
    <definedName name="solver_rel2" localSheetId="6" hidden="1">1</definedName>
    <definedName name="solver_rel2" localSheetId="7" hidden="1">1</definedName>
    <definedName name="solver_rel2" localSheetId="8" hidden="1">1</definedName>
    <definedName name="solver_rel2" localSheetId="9" hidden="1">1</definedName>
    <definedName name="solver_rel2" localSheetId="10" hidden="1">1</definedName>
    <definedName name="solver_rel2" localSheetId="11" hidden="1">1</definedName>
    <definedName name="solver_rel3" localSheetId="2" hidden="1">1</definedName>
    <definedName name="solver_rel3" localSheetId="5" hidden="1">1</definedName>
    <definedName name="solver_rel3" localSheetId="6" hidden="1">1</definedName>
    <definedName name="solver_rel3" localSheetId="7" hidden="1">1</definedName>
    <definedName name="solver_rel3" localSheetId="8" hidden="1">1</definedName>
    <definedName name="solver_rel3" localSheetId="9" hidden="1">1</definedName>
    <definedName name="solver_rel3" localSheetId="10" hidden="1">1</definedName>
    <definedName name="solver_rel3" localSheetId="11" hidden="1">1</definedName>
    <definedName name="solver_rel4" localSheetId="2" hidden="1">1</definedName>
    <definedName name="solver_rel4" localSheetId="5" hidden="1">1</definedName>
    <definedName name="solver_rel4" localSheetId="6" hidden="1">1</definedName>
    <definedName name="solver_rel4" localSheetId="7" hidden="1">1</definedName>
    <definedName name="solver_rel4" localSheetId="8" hidden="1">1</definedName>
    <definedName name="solver_rel4" localSheetId="9" hidden="1">1</definedName>
    <definedName name="solver_rel4" localSheetId="10" hidden="1">1</definedName>
    <definedName name="solver_rel4" localSheetId="11" hidden="1">1</definedName>
    <definedName name="solver_rel5" localSheetId="5" hidden="1">5</definedName>
    <definedName name="solver_rel5" localSheetId="6" hidden="1">2</definedName>
    <definedName name="solver_rel5" localSheetId="7" hidden="1">2</definedName>
    <definedName name="solver_rel5" localSheetId="8" hidden="1">5</definedName>
    <definedName name="solver_rel5" localSheetId="9" hidden="1">5</definedName>
    <definedName name="solver_rel5" localSheetId="10" hidden="1">5</definedName>
    <definedName name="solver_rel5" localSheetId="11" hidden="1">2</definedName>
    <definedName name="solver_rel6" localSheetId="5" hidden="1">1</definedName>
    <definedName name="solver_rel6" localSheetId="6" hidden="1">5</definedName>
    <definedName name="solver_rel6" localSheetId="7" hidden="1">5</definedName>
    <definedName name="solver_rel6" localSheetId="8" hidden="1">2</definedName>
    <definedName name="solver_rel6" localSheetId="9" hidden="1">2</definedName>
    <definedName name="solver_rel6" localSheetId="10" hidden="1">2</definedName>
    <definedName name="solver_rel6" localSheetId="11" hidden="1">5</definedName>
    <definedName name="solver_rel7" localSheetId="6" hidden="1">1</definedName>
    <definedName name="solver_rel7" localSheetId="7" hidden="1">2</definedName>
    <definedName name="solver_rel7" localSheetId="8" hidden="1">1</definedName>
    <definedName name="solver_rel7" localSheetId="9" hidden="1">1</definedName>
    <definedName name="solver_rel7" localSheetId="10" hidden="1">1</definedName>
    <definedName name="solver_rel7" localSheetId="11" hidden="1">2</definedName>
    <definedName name="solver_rel8" localSheetId="7" hidden="1">1</definedName>
    <definedName name="solver_rel8" localSheetId="11" hidden="1">1</definedName>
    <definedName name="solver_rhs1" localSheetId="2" hidden="1">Current!$J$51:$J$52</definedName>
    <definedName name="solver_rhs1" localSheetId="5" hidden="1">LongTermModel!$C$21:$I$21</definedName>
    <definedName name="solver_rhs1" localSheetId="6" hidden="1">'LongTermModel (2)'!$C$21:$I$21</definedName>
    <definedName name="solver_rhs1" localSheetId="7" hidden="1">'LongTermModel (3)'!$C$21:$I$21</definedName>
    <definedName name="solver_rhs1" localSheetId="8" hidden="1">'LongTermModel (4)'!$C$21:$I$21</definedName>
    <definedName name="solver_rhs1" localSheetId="9" hidden="1">'LongTermModel (5)'!$C$21:$I$21</definedName>
    <definedName name="solver_rhs1" localSheetId="10" hidden="1">'LongTermModel (6)'!$C$21:$I$21</definedName>
    <definedName name="solver_rhs1" localSheetId="11" hidden="1">'LongTermModel (7)'!$C$21:$I$21</definedName>
    <definedName name="solver_rhs2" localSheetId="2" hidden="1">Current!$C$54:$I$54</definedName>
    <definedName name="solver_rhs2" localSheetId="5" hidden="1">LongTermModel!$C$27:$C$34</definedName>
    <definedName name="solver_rhs2" localSheetId="6" hidden="1">'LongTermModel (2)'!$C$27:$C$34</definedName>
    <definedName name="solver_rhs2" localSheetId="7" hidden="1">'LongTermModel (3)'!$C$27:$C$34</definedName>
    <definedName name="solver_rhs2" localSheetId="8" hidden="1">'LongTermModel (4)'!$C$27:$C$34</definedName>
    <definedName name="solver_rhs2" localSheetId="9" hidden="1">'LongTermModel (5)'!$C$27:$C$34</definedName>
    <definedName name="solver_rhs2" localSheetId="10" hidden="1">'LongTermModel (6)'!$C$27:$C$34</definedName>
    <definedName name="solver_rhs2" localSheetId="11" hidden="1">'LongTermModel (7)'!$C$27:$C$34</definedName>
    <definedName name="solver_rhs3" localSheetId="2" hidden="1">Current!$F$43:$F$45</definedName>
    <definedName name="solver_rhs3" localSheetId="5" hidden="1">LongTermModel!$E$27:$E$34</definedName>
    <definedName name="solver_rhs3" localSheetId="6" hidden="1">'LongTermModel (2)'!$E$27:$E$34</definedName>
    <definedName name="solver_rhs3" localSheetId="7" hidden="1">'LongTermModel (3)'!$E$27:$E$34</definedName>
    <definedName name="solver_rhs3" localSheetId="8" hidden="1">'LongTermModel (4)'!$E$27:$E$34</definedName>
    <definedName name="solver_rhs3" localSheetId="9" hidden="1">'LongTermModel (5)'!$E$27:$E$34</definedName>
    <definedName name="solver_rhs3" localSheetId="10" hidden="1">'LongTermModel (6)'!$E$27:$E$34</definedName>
    <definedName name="solver_rhs3" localSheetId="11" hidden="1">'LongTermModel (7)'!$E$27:$E$34</definedName>
    <definedName name="solver_rhs4" localSheetId="2" hidden="1">Current!$K$51:$K$52</definedName>
    <definedName name="solver_rhs4" localSheetId="5" hidden="1">LongTermModel!$N$16:$N$18</definedName>
    <definedName name="solver_rhs4" localSheetId="6" hidden="1">'LongTermModel (2)'!$N$16:$N$18</definedName>
    <definedName name="solver_rhs4" localSheetId="7" hidden="1">'LongTermModel (3)'!$N$16:$N$18</definedName>
    <definedName name="solver_rhs4" localSheetId="8" hidden="1">'LongTermModel (4)'!$N$16:$N$18</definedName>
    <definedName name="solver_rhs4" localSheetId="9" hidden="1">'LongTermModel (5)'!$N$16:$N$18</definedName>
    <definedName name="solver_rhs4" localSheetId="10" hidden="1">'LongTermModel (6)'!$N$16:$N$18</definedName>
    <definedName name="solver_rhs4" localSheetId="11" hidden="1">'LongTermModel (7)'!$N$16:$N$18</definedName>
    <definedName name="solver_rhs5" localSheetId="5" hidden="1">"binary"</definedName>
    <definedName name="solver_rhs5" localSheetId="6" hidden="1">0</definedName>
    <definedName name="solver_rhs5" localSheetId="7" hidden="1">0</definedName>
    <definedName name="solver_rhs5" localSheetId="8" hidden="1">"binary"</definedName>
    <definedName name="solver_rhs5" localSheetId="9" hidden="1">"binary"</definedName>
    <definedName name="solver_rhs5" localSheetId="10" hidden="1">"binary"</definedName>
    <definedName name="solver_rhs5" localSheetId="11" hidden="1">0</definedName>
    <definedName name="solver_rhs6" localSheetId="5" hidden="1">LongTermModel!$N$5:$N$10</definedName>
    <definedName name="solver_rhs6" localSheetId="6" hidden="1">"binary"</definedName>
    <definedName name="solver_rhs6" localSheetId="7" hidden="1">"binary"</definedName>
    <definedName name="solver_rhs6" localSheetId="8" hidden="1">0</definedName>
    <definedName name="solver_rhs6" localSheetId="9" hidden="1">0</definedName>
    <definedName name="solver_rhs6" localSheetId="10" hidden="1">0</definedName>
    <definedName name="solver_rhs6" localSheetId="11" hidden="1">"binary"</definedName>
    <definedName name="solver_rhs7" localSheetId="6" hidden="1">'LongTermModel (2)'!$N$5:$N$10</definedName>
    <definedName name="solver_rhs7" localSheetId="7" hidden="1">1</definedName>
    <definedName name="solver_rhs7" localSheetId="8" hidden="1">'LongTermModel (4)'!$N$5:$N$10</definedName>
    <definedName name="solver_rhs7" localSheetId="9" hidden="1">'LongTermModel (5)'!$N$5:$N$10</definedName>
    <definedName name="solver_rhs7" localSheetId="10" hidden="1">'LongTermModel (6)'!$N$5:$N$10</definedName>
    <definedName name="solver_rhs7" localSheetId="11" hidden="1">0</definedName>
    <definedName name="solver_rhs8" localSheetId="7" hidden="1">'LongTermModel (3)'!$N$5:$N$10</definedName>
    <definedName name="solver_rhs8" localSheetId="11" hidden="1">'LongTermModel (7)'!$N$5:$N$10</definedName>
    <definedName name="solver_rlx" localSheetId="2" hidden="1">1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sd" localSheetId="2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scl" localSheetId="2" hidden="1">2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ho" localSheetId="2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sz" localSheetId="2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tim" localSheetId="2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ol" localSheetId="2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yp" localSheetId="2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val" localSheetId="2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er" localSheetId="2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5" l="1"/>
  <c r="E32" i="5"/>
  <c r="E31" i="5"/>
  <c r="E29" i="5"/>
  <c r="E28" i="5"/>
  <c r="E27" i="5"/>
  <c r="B40" i="12"/>
  <c r="B39" i="12"/>
  <c r="B38" i="12"/>
  <c r="E34" i="12"/>
  <c r="B34" i="12"/>
  <c r="C34" i="12" s="1"/>
  <c r="E33" i="12"/>
  <c r="B33" i="12"/>
  <c r="C33" i="12" s="1"/>
  <c r="E32" i="12"/>
  <c r="B32" i="12"/>
  <c r="C32" i="12" s="1"/>
  <c r="E31" i="12"/>
  <c r="B31" i="12"/>
  <c r="C31" i="12" s="1"/>
  <c r="E30" i="12"/>
  <c r="B30" i="12"/>
  <c r="C30" i="12" s="1"/>
  <c r="E29" i="12"/>
  <c r="B29" i="12"/>
  <c r="C29" i="12" s="1"/>
  <c r="E28" i="12"/>
  <c r="B28" i="12"/>
  <c r="C28" i="12" s="1"/>
  <c r="E27" i="12"/>
  <c r="B27" i="12"/>
  <c r="C27" i="12" s="1"/>
  <c r="D24" i="12"/>
  <c r="I21" i="12"/>
  <c r="H21" i="12"/>
  <c r="G21" i="12"/>
  <c r="F21" i="12"/>
  <c r="E21" i="12"/>
  <c r="D21" i="12"/>
  <c r="C21" i="12"/>
  <c r="I20" i="12"/>
  <c r="H20" i="12"/>
  <c r="G20" i="12"/>
  <c r="F20" i="12"/>
  <c r="E20" i="12"/>
  <c r="D20" i="12"/>
  <c r="C20" i="12"/>
  <c r="K18" i="12"/>
  <c r="D34" i="12" s="1"/>
  <c r="K17" i="12"/>
  <c r="D33" i="12" s="1"/>
  <c r="K16" i="12"/>
  <c r="D32" i="12" s="1"/>
  <c r="K15" i="12"/>
  <c r="D31" i="12" s="1"/>
  <c r="K14" i="12"/>
  <c r="D30" i="12" s="1"/>
  <c r="K13" i="12"/>
  <c r="D29" i="12" s="1"/>
  <c r="K12" i="12"/>
  <c r="D28" i="12" s="1"/>
  <c r="K11" i="12"/>
  <c r="D27" i="12" s="1"/>
  <c r="L6" i="12"/>
  <c r="L5" i="12"/>
  <c r="L4" i="12"/>
  <c r="B40" i="11"/>
  <c r="B39" i="11"/>
  <c r="B38" i="11"/>
  <c r="E34" i="11"/>
  <c r="B34" i="11"/>
  <c r="E33" i="11"/>
  <c r="B33" i="11"/>
  <c r="C33" i="11" s="1"/>
  <c r="E32" i="11"/>
  <c r="B32" i="11"/>
  <c r="E31" i="11"/>
  <c r="B31" i="11"/>
  <c r="C31" i="11" s="1"/>
  <c r="E30" i="11"/>
  <c r="B30" i="11"/>
  <c r="E29" i="11"/>
  <c r="B29" i="11"/>
  <c r="C29" i="11" s="1"/>
  <c r="E28" i="11"/>
  <c r="B28" i="11"/>
  <c r="E27" i="11"/>
  <c r="B27" i="11"/>
  <c r="C27" i="11" s="1"/>
  <c r="D24" i="11"/>
  <c r="I21" i="11"/>
  <c r="H21" i="11"/>
  <c r="G21" i="11"/>
  <c r="F21" i="11"/>
  <c r="E21" i="11"/>
  <c r="D21" i="11"/>
  <c r="C21" i="11"/>
  <c r="I20" i="11"/>
  <c r="H20" i="11"/>
  <c r="G20" i="11"/>
  <c r="F20" i="11"/>
  <c r="E20" i="11"/>
  <c r="D20" i="11"/>
  <c r="C20" i="11"/>
  <c r="K18" i="11"/>
  <c r="D34" i="11" s="1"/>
  <c r="K17" i="11"/>
  <c r="D33" i="11" s="1"/>
  <c r="K16" i="11"/>
  <c r="D32" i="11" s="1"/>
  <c r="K15" i="11"/>
  <c r="D31" i="11" s="1"/>
  <c r="K14" i="11"/>
  <c r="D30" i="11" s="1"/>
  <c r="K13" i="11"/>
  <c r="D29" i="11" s="1"/>
  <c r="K12" i="11"/>
  <c r="D28" i="11" s="1"/>
  <c r="K11" i="11"/>
  <c r="D27" i="11" s="1"/>
  <c r="L6" i="11"/>
  <c r="L5" i="11"/>
  <c r="L4" i="11"/>
  <c r="B40" i="10"/>
  <c r="B39" i="10"/>
  <c r="B38" i="10"/>
  <c r="E34" i="10"/>
  <c r="B34" i="10"/>
  <c r="E33" i="10"/>
  <c r="B33" i="10"/>
  <c r="C33" i="10" s="1"/>
  <c r="E32" i="10"/>
  <c r="B32" i="10"/>
  <c r="C32" i="10" s="1"/>
  <c r="E31" i="10"/>
  <c r="B31" i="10"/>
  <c r="C31" i="10" s="1"/>
  <c r="E30" i="10"/>
  <c r="B30" i="10"/>
  <c r="C30" i="10" s="1"/>
  <c r="E29" i="10"/>
  <c r="B29" i="10"/>
  <c r="C29" i="10" s="1"/>
  <c r="E28" i="10"/>
  <c r="B28" i="10"/>
  <c r="C28" i="10" s="1"/>
  <c r="E27" i="10"/>
  <c r="B27" i="10"/>
  <c r="C27" i="10" s="1"/>
  <c r="D24" i="10"/>
  <c r="I21" i="10"/>
  <c r="H21" i="10"/>
  <c r="G21" i="10"/>
  <c r="F21" i="10"/>
  <c r="E21" i="10"/>
  <c r="D21" i="10"/>
  <c r="C21" i="10"/>
  <c r="I20" i="10"/>
  <c r="H20" i="10"/>
  <c r="G20" i="10"/>
  <c r="F20" i="10"/>
  <c r="E20" i="10"/>
  <c r="D20" i="10"/>
  <c r="C20" i="10"/>
  <c r="K18" i="10"/>
  <c r="D34" i="10" s="1"/>
  <c r="K17" i="10"/>
  <c r="D33" i="10" s="1"/>
  <c r="K16" i="10"/>
  <c r="D32" i="10" s="1"/>
  <c r="K15" i="10"/>
  <c r="D31" i="10" s="1"/>
  <c r="K14" i="10"/>
  <c r="D30" i="10" s="1"/>
  <c r="K13" i="10"/>
  <c r="D29" i="10" s="1"/>
  <c r="K12" i="10"/>
  <c r="D28" i="10" s="1"/>
  <c r="K11" i="10"/>
  <c r="D27" i="10" s="1"/>
  <c r="L6" i="10"/>
  <c r="L5" i="10"/>
  <c r="L4" i="10"/>
  <c r="B40" i="9"/>
  <c r="B39" i="9"/>
  <c r="B38" i="9"/>
  <c r="E34" i="9"/>
  <c r="B34" i="9"/>
  <c r="C34" i="9" s="1"/>
  <c r="E33" i="9"/>
  <c r="B33" i="9"/>
  <c r="E32" i="9"/>
  <c r="B32" i="9"/>
  <c r="C32" i="9" s="1"/>
  <c r="E31" i="9"/>
  <c r="B31" i="9"/>
  <c r="E30" i="9"/>
  <c r="B30" i="9"/>
  <c r="C30" i="9" s="1"/>
  <c r="E29" i="9"/>
  <c r="B29" i="9"/>
  <c r="E28" i="9"/>
  <c r="B28" i="9"/>
  <c r="C28" i="9" s="1"/>
  <c r="E27" i="9"/>
  <c r="B27" i="9"/>
  <c r="D24" i="9"/>
  <c r="I21" i="9"/>
  <c r="H21" i="9"/>
  <c r="G21" i="9"/>
  <c r="F21" i="9"/>
  <c r="E21" i="9"/>
  <c r="D21" i="9"/>
  <c r="C21" i="9"/>
  <c r="I20" i="9"/>
  <c r="H20" i="9"/>
  <c r="G20" i="9"/>
  <c r="F20" i="9"/>
  <c r="E20" i="9"/>
  <c r="D20" i="9"/>
  <c r="C20" i="9"/>
  <c r="K18" i="9"/>
  <c r="D34" i="9" s="1"/>
  <c r="K17" i="9"/>
  <c r="D33" i="9" s="1"/>
  <c r="K16" i="9"/>
  <c r="D32" i="9" s="1"/>
  <c r="K15" i="9"/>
  <c r="D31" i="9" s="1"/>
  <c r="K14" i="9"/>
  <c r="D30" i="9" s="1"/>
  <c r="K13" i="9"/>
  <c r="D29" i="9" s="1"/>
  <c r="K12" i="9"/>
  <c r="D28" i="9" s="1"/>
  <c r="K11" i="9"/>
  <c r="D27" i="9" s="1"/>
  <c r="L6" i="9"/>
  <c r="L5" i="9"/>
  <c r="L4" i="9"/>
  <c r="B40" i="8"/>
  <c r="B39" i="8"/>
  <c r="B38" i="8"/>
  <c r="E34" i="8"/>
  <c r="B34" i="8"/>
  <c r="E33" i="8"/>
  <c r="B33" i="8"/>
  <c r="C33" i="8" s="1"/>
  <c r="E32" i="8"/>
  <c r="B32" i="8"/>
  <c r="E31" i="8"/>
  <c r="B31" i="8"/>
  <c r="C31" i="8" s="1"/>
  <c r="E30" i="8"/>
  <c r="B30" i="8"/>
  <c r="E29" i="8"/>
  <c r="B29" i="8"/>
  <c r="C29" i="8" s="1"/>
  <c r="E28" i="8"/>
  <c r="B28" i="8"/>
  <c r="E27" i="8"/>
  <c r="B27" i="8"/>
  <c r="C27" i="8" s="1"/>
  <c r="D24" i="8"/>
  <c r="I21" i="8"/>
  <c r="H21" i="8"/>
  <c r="G21" i="8"/>
  <c r="F21" i="8"/>
  <c r="E21" i="8"/>
  <c r="D21" i="8"/>
  <c r="C21" i="8"/>
  <c r="I20" i="8"/>
  <c r="H20" i="8"/>
  <c r="G20" i="8"/>
  <c r="F20" i="8"/>
  <c r="E20" i="8"/>
  <c r="D20" i="8"/>
  <c r="C20" i="8"/>
  <c r="K18" i="8"/>
  <c r="D34" i="8" s="1"/>
  <c r="K17" i="8"/>
  <c r="D33" i="8" s="1"/>
  <c r="K16" i="8"/>
  <c r="D32" i="8" s="1"/>
  <c r="K15" i="8"/>
  <c r="D31" i="8" s="1"/>
  <c r="K14" i="8"/>
  <c r="D30" i="8" s="1"/>
  <c r="K13" i="8"/>
  <c r="D29" i="8" s="1"/>
  <c r="K12" i="8"/>
  <c r="D28" i="8" s="1"/>
  <c r="K11" i="8"/>
  <c r="D27" i="8" s="1"/>
  <c r="L6" i="8"/>
  <c r="L5" i="8"/>
  <c r="L4" i="8"/>
  <c r="B40" i="7"/>
  <c r="B39" i="7"/>
  <c r="B38" i="7"/>
  <c r="E34" i="7"/>
  <c r="B34" i="7"/>
  <c r="C34" i="7" s="1"/>
  <c r="E33" i="7"/>
  <c r="B33" i="7"/>
  <c r="C33" i="7" s="1"/>
  <c r="E32" i="7"/>
  <c r="B32" i="7"/>
  <c r="C32" i="7" s="1"/>
  <c r="E31" i="7"/>
  <c r="B31" i="7"/>
  <c r="C31" i="7" s="1"/>
  <c r="E30" i="7"/>
  <c r="B30" i="7"/>
  <c r="C30" i="7" s="1"/>
  <c r="E29" i="7"/>
  <c r="B29" i="7"/>
  <c r="C29" i="7" s="1"/>
  <c r="E28" i="7"/>
  <c r="B28" i="7"/>
  <c r="C28" i="7" s="1"/>
  <c r="E27" i="7"/>
  <c r="B27" i="7"/>
  <c r="C27" i="7" s="1"/>
  <c r="D24" i="7"/>
  <c r="I21" i="7"/>
  <c r="H21" i="7"/>
  <c r="G21" i="7"/>
  <c r="F21" i="7"/>
  <c r="E21" i="7"/>
  <c r="D21" i="7"/>
  <c r="C21" i="7"/>
  <c r="I20" i="7"/>
  <c r="H20" i="7"/>
  <c r="G20" i="7"/>
  <c r="F20" i="7"/>
  <c r="E20" i="7"/>
  <c r="D20" i="7"/>
  <c r="C20" i="7"/>
  <c r="K18" i="7"/>
  <c r="D34" i="7" s="1"/>
  <c r="K17" i="7"/>
  <c r="D33" i="7" s="1"/>
  <c r="K16" i="7"/>
  <c r="D32" i="7" s="1"/>
  <c r="K15" i="7"/>
  <c r="D31" i="7" s="1"/>
  <c r="K14" i="7"/>
  <c r="D30" i="7" s="1"/>
  <c r="K13" i="7"/>
  <c r="D29" i="7" s="1"/>
  <c r="K12" i="7"/>
  <c r="D28" i="7" s="1"/>
  <c r="K11" i="7"/>
  <c r="D27" i="7" s="1"/>
  <c r="L6" i="7"/>
  <c r="L5" i="7"/>
  <c r="L4" i="7"/>
  <c r="B40" i="5"/>
  <c r="B39" i="5"/>
  <c r="B38" i="5"/>
  <c r="B34" i="5"/>
  <c r="E33" i="5"/>
  <c r="B33" i="5"/>
  <c r="B32" i="5"/>
  <c r="B31" i="5"/>
  <c r="E30" i="5"/>
  <c r="B30" i="5"/>
  <c r="B29" i="5"/>
  <c r="B28" i="5"/>
  <c r="B27" i="5"/>
  <c r="D24" i="5"/>
  <c r="I21" i="5"/>
  <c r="H21" i="5"/>
  <c r="G21" i="5"/>
  <c r="F21" i="5"/>
  <c r="E21" i="5"/>
  <c r="D21" i="5"/>
  <c r="C21" i="5"/>
  <c r="I20" i="5"/>
  <c r="H20" i="5"/>
  <c r="G20" i="5"/>
  <c r="F20" i="5"/>
  <c r="E20" i="5"/>
  <c r="D20" i="5"/>
  <c r="C20" i="5"/>
  <c r="K18" i="5"/>
  <c r="D34" i="5" s="1"/>
  <c r="K17" i="5"/>
  <c r="D33" i="5" s="1"/>
  <c r="K16" i="5"/>
  <c r="D32" i="5" s="1"/>
  <c r="K15" i="5"/>
  <c r="D31" i="5" s="1"/>
  <c r="K14" i="5"/>
  <c r="D30" i="5" s="1"/>
  <c r="K13" i="5"/>
  <c r="D29" i="5" s="1"/>
  <c r="K12" i="5"/>
  <c r="D28" i="5" s="1"/>
  <c r="K11" i="5"/>
  <c r="D27" i="5" s="1"/>
  <c r="L6" i="5"/>
  <c r="L5" i="5"/>
  <c r="L4" i="5"/>
  <c r="K55" i="2"/>
  <c r="I53" i="2"/>
  <c r="H53" i="2"/>
  <c r="G53" i="2"/>
  <c r="F53" i="2"/>
  <c r="E53" i="2"/>
  <c r="D53" i="2"/>
  <c r="C53" i="2"/>
  <c r="K52" i="2"/>
  <c r="J52" i="2"/>
  <c r="K51" i="2"/>
  <c r="J51" i="2"/>
  <c r="D47" i="2"/>
  <c r="C47" i="2"/>
  <c r="D46" i="2"/>
  <c r="C46" i="2"/>
  <c r="E45" i="2"/>
  <c r="E44" i="2"/>
  <c r="E43" i="2"/>
  <c r="C15" i="2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B41" i="12" l="1"/>
  <c r="C34" i="11"/>
  <c r="B41" i="11"/>
  <c r="C28" i="11"/>
  <c r="C30" i="11"/>
  <c r="C32" i="11"/>
  <c r="C34" i="10"/>
  <c r="B41" i="10"/>
  <c r="C33" i="9"/>
  <c r="B41" i="9"/>
  <c r="C31" i="9"/>
  <c r="C27" i="9"/>
  <c r="C29" i="9"/>
  <c r="B41" i="8"/>
  <c r="C34" i="8"/>
  <c r="C28" i="8"/>
  <c r="C30" i="8"/>
  <c r="C32" i="8"/>
  <c r="B41" i="7"/>
  <c r="C34" i="5"/>
  <c r="B41" i="5"/>
  <c r="C27" i="5"/>
  <c r="C29" i="5"/>
  <c r="C31" i="5"/>
  <c r="C33" i="5"/>
  <c r="C28" i="5"/>
  <c r="C30" i="5"/>
  <c r="C32" i="5"/>
</calcChain>
</file>

<file path=xl/sharedStrings.xml><?xml version="1.0" encoding="utf-8"?>
<sst xmlns="http://schemas.openxmlformats.org/spreadsheetml/2006/main" count="868" uniqueCount="182">
  <si>
    <t>Microsoft Excel 16.106 Sensitivity Report</t>
  </si>
  <si>
    <t>Worksheet: [EfesData.xlsx]Current</t>
  </si>
  <si>
    <t>Report Created: 2/12/26 3:46:24 PM</t>
  </si>
  <si>
    <t>Variable Cells</t>
  </si>
  <si>
    <t>Final</t>
  </si>
  <si>
    <t>Reduced</t>
  </si>
  <si>
    <t>Objective</t>
  </si>
  <si>
    <t>Allowable</t>
  </si>
  <si>
    <t>Cell</t>
  </si>
  <si>
    <t>Name</t>
  </si>
  <si>
    <t>Value</t>
  </si>
  <si>
    <t>Cost</t>
  </si>
  <si>
    <t>Coefficient</t>
  </si>
  <si>
    <t>Increase</t>
  </si>
  <si>
    <t>Decrease</t>
  </si>
  <si>
    <t>$C$43</t>
  </si>
  <si>
    <t>Afyon Istanbul</t>
  </si>
  <si>
    <t>$D$43</t>
  </si>
  <si>
    <t>Afyon Ankara</t>
  </si>
  <si>
    <t>$C$44</t>
  </si>
  <si>
    <t>Konya Istanbul</t>
  </si>
  <si>
    <t>$D$44</t>
  </si>
  <si>
    <t>Konya Ankara</t>
  </si>
  <si>
    <t>$C$45</t>
  </si>
  <si>
    <t>Import Istanbul</t>
  </si>
  <si>
    <t>$D$45</t>
  </si>
  <si>
    <t>Import Ankara</t>
  </si>
  <si>
    <t>$C$51</t>
  </si>
  <si>
    <t>Istanbul Istanbul</t>
  </si>
  <si>
    <t>$D$51</t>
  </si>
  <si>
    <t>Istanbul Izmir</t>
  </si>
  <si>
    <t>$E$51</t>
  </si>
  <si>
    <t>Istanbul Antalya</t>
  </si>
  <si>
    <t>$F$51</t>
  </si>
  <si>
    <t>Istanbul Bursa</t>
  </si>
  <si>
    <t>$G$51</t>
  </si>
  <si>
    <t>Istanbul Kayseri</t>
  </si>
  <si>
    <t>$H$51</t>
  </si>
  <si>
    <t>Istanbul Samsun</t>
  </si>
  <si>
    <t>$I$51</t>
  </si>
  <si>
    <t>Istanbul Export (Izmir)</t>
  </si>
  <si>
    <t>$C$52</t>
  </si>
  <si>
    <t>Ankara Istanbul</t>
  </si>
  <si>
    <t>$D$52</t>
  </si>
  <si>
    <t>Ankara Izmir</t>
  </si>
  <si>
    <t>$E$52</t>
  </si>
  <si>
    <t>Ankara Antalya</t>
  </si>
  <si>
    <t>$F$52</t>
  </si>
  <si>
    <t>Ankara Bursa</t>
  </si>
  <si>
    <t>$G$52</t>
  </si>
  <si>
    <t>Ankara Kayseri</t>
  </si>
  <si>
    <t>$H$52</t>
  </si>
  <si>
    <t>Ankara Samsun</t>
  </si>
  <si>
    <t>$I$52</t>
  </si>
  <si>
    <t>Ankara Export (Izmir)</t>
  </si>
  <si>
    <t>Constraints</t>
  </si>
  <si>
    <t>Shadow</t>
  </si>
  <si>
    <t>Constraint</t>
  </si>
  <si>
    <t>Price</t>
  </si>
  <si>
    <t>R.H. Side</t>
  </si>
  <si>
    <t>$C$47</t>
  </si>
  <si>
    <t>Total beer Istanbul</t>
  </si>
  <si>
    <t>$D$47</t>
  </si>
  <si>
    <t>Total beer Ankara</t>
  </si>
  <si>
    <t>$C$53</t>
  </si>
  <si>
    <t>Total Istanbul</t>
  </si>
  <si>
    <t>$D$53</t>
  </si>
  <si>
    <t>Total Izmir</t>
  </si>
  <si>
    <t>$E$53</t>
  </si>
  <si>
    <t>Total Antalya</t>
  </si>
  <si>
    <t>$F$53</t>
  </si>
  <si>
    <t>Total Bursa</t>
  </si>
  <si>
    <t>$G$53</t>
  </si>
  <si>
    <t>Total Kayseri</t>
  </si>
  <si>
    <t>$H$53</t>
  </si>
  <si>
    <t>Total Samsun</t>
  </si>
  <si>
    <t>$I$53</t>
  </si>
  <si>
    <t>Total Export (Izmir)</t>
  </si>
  <si>
    <t>$E$43</t>
  </si>
  <si>
    <t>Afyon Total</t>
  </si>
  <si>
    <t>$E$44</t>
  </si>
  <si>
    <t>Konya Total</t>
  </si>
  <si>
    <t>$E$45</t>
  </si>
  <si>
    <t>Import Total</t>
  </si>
  <si>
    <t>$J$51</t>
  </si>
  <si>
    <t>Istanbul Total</t>
  </si>
  <si>
    <t>$J$52</t>
  </si>
  <si>
    <t>Ankara Total</t>
  </si>
  <si>
    <t>Current year data and shipment plan.</t>
  </si>
  <si>
    <t>CURRENT DEMAND:</t>
  </si>
  <si>
    <t xml:space="preserve">Annual demand at distribution centers </t>
  </si>
  <si>
    <t>(Million litres/year)</t>
  </si>
  <si>
    <t>Dist. Centers</t>
  </si>
  <si>
    <t>Demand</t>
  </si>
  <si>
    <t xml:space="preserve"> </t>
  </si>
  <si>
    <t>Istanbul</t>
  </si>
  <si>
    <t>Izmir</t>
  </si>
  <si>
    <t>Antalya</t>
  </si>
  <si>
    <t>Bursa</t>
  </si>
  <si>
    <t>Kayseri</t>
  </si>
  <si>
    <t>Samsun</t>
  </si>
  <si>
    <t>Export(Izmir)</t>
  </si>
  <si>
    <t>Total</t>
  </si>
  <si>
    <t xml:space="preserve">CAPACITY: </t>
  </si>
  <si>
    <t>TRANSPORTATION COSTS:</t>
  </si>
  <si>
    <t>Annual capacity of malt plants</t>
  </si>
  <si>
    <t>Annual capacity of breweries</t>
  </si>
  <si>
    <t xml:space="preserve">Annual cost of shipping 1 ton of malt from plant i to brewery j </t>
  </si>
  <si>
    <t>(1000 tons/year)</t>
  </si>
  <si>
    <t>(Million $ /1000 ton)*</t>
  </si>
  <si>
    <t>Afyon</t>
  </si>
  <si>
    <t xml:space="preserve">Existing Breweries </t>
  </si>
  <si>
    <t>Current</t>
  </si>
  <si>
    <t>Existing Brewery Sites</t>
  </si>
  <si>
    <t>Konya</t>
  </si>
  <si>
    <t>Malt Plants</t>
  </si>
  <si>
    <t>Ankara</t>
  </si>
  <si>
    <t>Import (Izmir)</t>
  </si>
  <si>
    <t xml:space="preserve">MALT YIELD: </t>
  </si>
  <si>
    <t>* Tons are metric tons in all measurements.</t>
  </si>
  <si>
    <t xml:space="preserve">Annual cost of shipping 1 million liters of beer from brewery j to distribution center k  </t>
  </si>
  <si>
    <t>Million lts beer brewed from</t>
  </si>
  <si>
    <t>(Million $/Million ltr)</t>
  </si>
  <si>
    <t>1000 tons of malt</t>
  </si>
  <si>
    <t>Distribution Centers</t>
  </si>
  <si>
    <t>Domestic</t>
  </si>
  <si>
    <t>Breweries</t>
  </si>
  <si>
    <t>Export (Izmir)</t>
  </si>
  <si>
    <t>Import</t>
  </si>
  <si>
    <t>Current Shipment Plan</t>
  </si>
  <si>
    <t>Amount of malt shipped from plant i to brewery j in year 1 (1000 ton)</t>
  </si>
  <si>
    <t>Capacity</t>
  </si>
  <si>
    <t>Total malt</t>
  </si>
  <si>
    <t>Total beer</t>
  </si>
  <si>
    <t>(Million lt)</t>
  </si>
  <si>
    <t>Amount of beer shipped from brewery j to distribution center k in year 1 (Million liters)</t>
  </si>
  <si>
    <t>Demands</t>
  </si>
  <si>
    <t>Total shipping cost</t>
  </si>
  <si>
    <t>(Million dollars)</t>
  </si>
  <si>
    <t>Long term demand, potential brewery sites, capacities, yearly equivalent investment costs, and unit transporation costs.</t>
  </si>
  <si>
    <t>(Million $ /1000 ton)</t>
  </si>
  <si>
    <t>Destinations</t>
  </si>
  <si>
    <t>Potential Brewery Sites</t>
  </si>
  <si>
    <t>Sakarya</t>
  </si>
  <si>
    <t>Adana</t>
  </si>
  <si>
    <t>IstNew</t>
  </si>
  <si>
    <t>AnkNew</t>
  </si>
  <si>
    <t>Potential Breweries</t>
  </si>
  <si>
    <t>New</t>
  </si>
  <si>
    <t>Expansion</t>
  </si>
  <si>
    <t>Existing</t>
  </si>
  <si>
    <t>Potential</t>
  </si>
  <si>
    <t>DEMAND:</t>
  </si>
  <si>
    <t>Demand         (million ltr)</t>
  </si>
  <si>
    <t>FIXED COSTS:</t>
  </si>
  <si>
    <t>(Million $)</t>
  </si>
  <si>
    <t xml:space="preserve">Yearly Equivalent </t>
  </si>
  <si>
    <t>Open</t>
  </si>
  <si>
    <t xml:space="preserve"> Expand</t>
  </si>
  <si>
    <t>Decision variables</t>
  </si>
  <si>
    <t>Malt shipped x(i,j) (1000 tons)</t>
  </si>
  <si>
    <t>From \ To</t>
  </si>
  <si>
    <t>Row sum</t>
  </si>
  <si>
    <t>Binary decisions</t>
  </si>
  <si>
    <t>Site</t>
  </si>
  <si>
    <t>Expand</t>
  </si>
  <si>
    <t>Beer shipped y(j,k) (million liters)</t>
  </si>
  <si>
    <t>Col sum (supply to DC)</t>
  </si>
  <si>
    <t>Checks</t>
  </si>
  <si>
    <t>Yield (million liters per 1000 tons malt)</t>
  </si>
  <si>
    <t>Brewery</t>
  </si>
  <si>
    <t>Malt in (1000 tons)</t>
  </si>
  <si>
    <t>Beer available (=Yield*Malt)</t>
  </si>
  <si>
    <t>Beer shipped (row sum)</t>
  </si>
  <si>
    <t>Objective (Minimize total cost, million $)</t>
  </si>
  <si>
    <t>Malt transport cost</t>
  </si>
  <si>
    <t>Beer transport cost</t>
  </si>
  <si>
    <t>Fixed investment cost</t>
  </si>
  <si>
    <t>TOTAL COST</t>
  </si>
  <si>
    <t>Microsoft Excel 16.0 Sensitivity Report</t>
  </si>
  <si>
    <t>Worksheet: [EfesData_with_LongTermModel.xlsx]Current</t>
  </si>
  <si>
    <t>Report Created: 2/15/2026 10:32:07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</si>
</sst>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164" formatCode="0.000"/>
    <numFmt numFmtId="165" formatCode="#,##0.000_);\(#,##0.000\)"/>
    <numFmt numFmtId="166" formatCode="0.0000000000000"/>
    <numFmt numFmtId="167" formatCode="0.000000"/>
    <numFmt numFmtId="168" formatCode="0.0000"/>
  </numFmts>
  <fonts count="21" x14ac:knownFonts="1">
    <font>
      <sz val="10"/>
      <name val="MS Sans Serif"/>
    </font>
    <font>
      <sz val="8"/>
      <name val="MS Sans Serif"/>
    </font>
    <font>
      <b/>
      <i/>
      <sz val="8"/>
      <name val="MS Sans Serif"/>
    </font>
    <font>
      <i/>
      <sz val="8"/>
      <name val="MS Sans Serif"/>
    </font>
    <font>
      <sz val="8"/>
      <name val="MS Sans Serif"/>
      <family val="2"/>
    </font>
    <font>
      <b/>
      <sz val="8"/>
      <name val="MS Sans Serif"/>
      <family val="2"/>
    </font>
    <font>
      <sz val="8.5"/>
      <name val="MS Sans Serif"/>
      <family val="2"/>
    </font>
    <font>
      <i/>
      <sz val="8"/>
      <name val="MS Sans Serif"/>
      <family val="2"/>
    </font>
    <font>
      <b/>
      <sz val="8.5"/>
      <name val="MS Sans Serif"/>
      <family val="2"/>
    </font>
    <font>
      <i/>
      <sz val="8.5"/>
      <name val="MS Sans Serif"/>
      <family val="2"/>
    </font>
    <font>
      <b/>
      <i/>
      <sz val="8.5"/>
      <name val="MS Sans Serif"/>
      <family val="2"/>
    </font>
    <font>
      <b/>
      <i/>
      <sz val="8"/>
      <name val="MS Sans Serif"/>
      <family val="2"/>
    </font>
    <font>
      <sz val="9.5"/>
      <name val="MS Sans Serif"/>
      <family val="2"/>
    </font>
    <font>
      <b/>
      <i/>
      <sz val="9"/>
      <name val="MS Sans Serif"/>
    </font>
    <font>
      <b/>
      <i/>
      <sz val="8.5"/>
      <name val="MS Sans Serif"/>
    </font>
    <font>
      <b/>
      <sz val="10"/>
      <name val="MS Sans Serif"/>
      <family val="2"/>
    </font>
    <font>
      <b/>
      <sz val="10"/>
      <name val="MS Sans Serif"/>
    </font>
    <font>
      <b/>
      <sz val="10"/>
      <color indexed="18"/>
      <name val="MS Sans Serif"/>
    </font>
    <font>
      <b/>
      <sz val="10"/>
      <name val="MS Sans Serif"/>
    </font>
    <font>
      <b/>
      <sz val="10"/>
      <color rgb="FF000000"/>
      <name val="MS Sans Serif"/>
    </font>
    <font>
      <b/>
      <sz val="12"/>
      <name val="MS Sans Serif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rgb="FFE6F2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111">
    <border>
      <left/>
      <right/>
      <top/>
      <bottom/>
      <diagonal/>
    </border>
    <border>
      <left/>
      <right/>
      <top style="thick">
        <color indexed="12"/>
      </top>
      <bottom/>
      <diagonal/>
    </border>
    <border>
      <left/>
      <right style="thick">
        <color indexed="12"/>
      </right>
      <top style="thick">
        <color indexed="12"/>
      </top>
      <bottom/>
      <diagonal/>
    </border>
    <border>
      <left/>
      <right style="thick">
        <color indexed="12"/>
      </right>
      <top/>
      <bottom/>
      <diagonal/>
    </border>
    <border>
      <left style="thick">
        <color indexed="12"/>
      </left>
      <right/>
      <top/>
      <bottom/>
      <diagonal/>
    </border>
    <border>
      <left style="thick">
        <color indexed="12"/>
      </left>
      <right/>
      <top style="thick">
        <color indexed="12"/>
      </top>
      <bottom/>
      <diagonal/>
    </border>
    <border>
      <left style="double">
        <color indexed="10"/>
      </left>
      <right/>
      <top style="double">
        <color indexed="10"/>
      </top>
      <bottom/>
      <diagonal/>
    </border>
    <border>
      <left/>
      <right/>
      <top style="double">
        <color indexed="10"/>
      </top>
      <bottom/>
      <diagonal/>
    </border>
    <border>
      <left/>
      <right style="double">
        <color indexed="10"/>
      </right>
      <top style="double">
        <color indexed="10"/>
      </top>
      <bottom/>
      <diagonal/>
    </border>
    <border>
      <left style="double">
        <color indexed="10"/>
      </left>
      <right/>
      <top/>
      <bottom/>
      <diagonal/>
    </border>
    <border>
      <left style="double">
        <color indexed="10"/>
      </left>
      <right/>
      <top/>
      <bottom style="double">
        <color indexed="10"/>
      </bottom>
      <diagonal/>
    </border>
    <border>
      <left/>
      <right/>
      <top/>
      <bottom style="double">
        <color indexed="10"/>
      </bottom>
      <diagonal/>
    </border>
    <border>
      <left/>
      <right style="double">
        <color indexed="10"/>
      </right>
      <top/>
      <bottom/>
      <diagonal/>
    </border>
    <border>
      <left style="thick">
        <color indexed="12"/>
      </left>
      <right style="medium">
        <color indexed="1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10"/>
      </bottom>
      <diagonal/>
    </border>
    <border>
      <left/>
      <right/>
      <top style="thin">
        <color indexed="64"/>
      </top>
      <bottom style="double">
        <color indexed="10"/>
      </bottom>
      <diagonal/>
    </border>
    <border>
      <left/>
      <right style="double">
        <color indexed="10"/>
      </right>
      <top/>
      <bottom style="double">
        <color indexed="1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1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1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uble">
        <color indexed="10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1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1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0"/>
      </bottom>
      <diagonal/>
    </border>
    <border>
      <left style="thin">
        <color indexed="64"/>
      </left>
      <right style="double">
        <color indexed="10"/>
      </right>
      <top style="thin">
        <color indexed="64"/>
      </top>
      <bottom style="double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10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10"/>
      </bottom>
      <diagonal/>
    </border>
    <border>
      <left style="thin">
        <color indexed="64"/>
      </left>
      <right style="double">
        <color indexed="10"/>
      </right>
      <top/>
      <bottom style="double">
        <color indexed="10"/>
      </bottom>
      <diagonal/>
    </border>
    <border>
      <left style="thick">
        <color indexed="12"/>
      </left>
      <right/>
      <top/>
      <bottom style="thick">
        <color indexed="12"/>
      </bottom>
      <diagonal/>
    </border>
    <border>
      <left/>
      <right/>
      <top/>
      <bottom style="thick">
        <color indexed="12"/>
      </bottom>
      <diagonal/>
    </border>
    <border>
      <left style="double">
        <color indexed="10"/>
      </left>
      <right style="medium">
        <color indexed="64"/>
      </right>
      <top/>
      <bottom/>
      <diagonal/>
    </border>
    <border>
      <left/>
      <right style="thick">
        <color indexed="12"/>
      </right>
      <top style="thick">
        <color indexed="12"/>
      </top>
      <bottom style="thick">
        <color indexed="12"/>
      </bottom>
      <diagonal/>
    </border>
    <border>
      <left style="thick">
        <color indexed="21"/>
      </left>
      <right style="thick">
        <color indexed="21"/>
      </right>
      <top style="thick">
        <color indexed="21"/>
      </top>
      <bottom style="thick">
        <color indexed="12"/>
      </bottom>
      <diagonal/>
    </border>
    <border>
      <left/>
      <right style="thick">
        <color indexed="21"/>
      </right>
      <top/>
      <bottom style="thick">
        <color indexed="12"/>
      </bottom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/>
      <right/>
      <top/>
      <bottom style="medium">
        <color indexed="10"/>
      </bottom>
      <diagonal/>
    </border>
    <border>
      <left style="medium">
        <color indexed="10"/>
      </left>
      <right/>
      <top/>
      <bottom style="medium">
        <color indexed="10"/>
      </bottom>
      <diagonal/>
    </border>
    <border>
      <left style="medium">
        <color indexed="12"/>
      </left>
      <right/>
      <top style="medium">
        <color indexed="17"/>
      </top>
      <bottom style="medium">
        <color indexed="12"/>
      </bottom>
      <diagonal/>
    </border>
    <border>
      <left/>
      <right style="thick">
        <color indexed="12"/>
      </right>
      <top/>
      <bottom style="medium">
        <color indexed="10"/>
      </bottom>
      <diagonal/>
    </border>
    <border>
      <left/>
      <right style="medium">
        <color indexed="17"/>
      </right>
      <top/>
      <bottom/>
      <diagonal/>
    </border>
    <border>
      <left style="medium">
        <color indexed="17"/>
      </left>
      <right/>
      <top/>
      <bottom/>
      <diagonal/>
    </border>
    <border>
      <left/>
      <right style="thick">
        <color indexed="12"/>
      </right>
      <top style="medium">
        <color indexed="10"/>
      </top>
      <bottom/>
      <diagonal/>
    </border>
    <border>
      <left style="medium">
        <color indexed="17"/>
      </left>
      <right style="medium">
        <color indexed="12"/>
      </right>
      <top style="medium">
        <color indexed="12"/>
      </top>
      <bottom/>
      <diagonal/>
    </border>
    <border>
      <left/>
      <right style="medium">
        <color indexed="17"/>
      </right>
      <top style="medium">
        <color indexed="17"/>
      </top>
      <bottom/>
      <diagonal/>
    </border>
    <border>
      <left/>
      <right/>
      <top style="medium">
        <color indexed="17"/>
      </top>
      <bottom/>
      <diagonal/>
    </border>
    <border>
      <left style="medium">
        <color indexed="17"/>
      </left>
      <right/>
      <top style="medium">
        <color indexed="17"/>
      </top>
      <bottom/>
      <diagonal/>
    </border>
    <border>
      <left style="medium">
        <color indexed="53"/>
      </left>
      <right/>
      <top style="medium">
        <color indexed="39"/>
      </top>
      <bottom style="medium">
        <color indexed="53"/>
      </bottom>
      <diagonal/>
    </border>
    <border>
      <left/>
      <right style="medium">
        <color indexed="12"/>
      </right>
      <top style="medium">
        <color indexed="17"/>
      </top>
      <bottom style="medium">
        <color indexed="39"/>
      </bottom>
      <diagonal/>
    </border>
    <border>
      <left style="medium">
        <color indexed="39"/>
      </left>
      <right/>
      <top style="medium">
        <color indexed="17"/>
      </top>
      <bottom style="medium">
        <color indexed="39"/>
      </bottom>
      <diagonal/>
    </border>
    <border>
      <left style="medium">
        <color indexed="39"/>
      </left>
      <right style="medium">
        <color indexed="10"/>
      </right>
      <top/>
      <bottom style="medium">
        <color indexed="10"/>
      </bottom>
      <diagonal/>
    </border>
    <border>
      <left/>
      <right/>
      <top/>
      <bottom style="medium">
        <color indexed="17"/>
      </bottom>
      <diagonal/>
    </border>
    <border>
      <left style="medium">
        <color indexed="17"/>
      </left>
      <right/>
      <top/>
      <bottom style="medium">
        <color indexed="17"/>
      </bottom>
      <diagonal/>
    </border>
    <border>
      <left style="medium">
        <color indexed="39"/>
      </left>
      <right style="medium">
        <color indexed="10"/>
      </right>
      <top/>
      <bottom/>
      <diagonal/>
    </border>
    <border>
      <left style="medium">
        <color indexed="39"/>
      </left>
      <right style="medium">
        <color indexed="10"/>
      </right>
      <top style="medium">
        <color indexed="10"/>
      </top>
      <bottom/>
      <diagonal/>
    </border>
    <border>
      <left style="medium">
        <color indexed="17"/>
      </left>
      <right style="medium">
        <color indexed="39"/>
      </right>
      <top style="medium">
        <color indexed="1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10"/>
      </left>
      <right style="medium">
        <color indexed="64"/>
      </right>
      <top/>
      <bottom style="double">
        <color indexed="10"/>
      </bottom>
      <diagonal/>
    </border>
    <border>
      <left style="medium">
        <color indexed="64"/>
      </left>
      <right/>
      <top style="thin">
        <color indexed="64"/>
      </top>
      <bottom style="double">
        <color indexed="10"/>
      </bottom>
      <diagonal/>
    </border>
    <border>
      <left style="thin">
        <color indexed="64"/>
      </left>
      <right/>
      <top style="thin">
        <color indexed="64"/>
      </top>
      <bottom style="double">
        <color indexed="10"/>
      </bottom>
      <diagonal/>
    </border>
    <border>
      <left style="double">
        <color rgb="FFFF0000"/>
      </left>
      <right/>
      <top/>
      <bottom/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FF0000"/>
      </left>
      <right/>
      <top style="medium">
        <color indexed="64"/>
      </top>
      <bottom style="double">
        <color rgb="FFFF0000"/>
      </bottom>
      <diagonal/>
    </border>
    <border>
      <left style="medium">
        <color indexed="64"/>
      </left>
      <right style="double">
        <color rgb="FFFF0000"/>
      </right>
      <top/>
      <bottom/>
      <diagonal/>
    </border>
    <border>
      <left style="medium">
        <color indexed="64"/>
      </left>
      <right style="double">
        <color rgb="FFFF0000"/>
      </right>
      <top style="medium">
        <color indexed="64"/>
      </top>
      <bottom style="double">
        <color rgb="FFFF0000"/>
      </bottom>
      <diagonal/>
    </border>
    <border>
      <left style="thin">
        <color theme="1"/>
      </left>
      <right style="double">
        <color indexed="10"/>
      </right>
      <top/>
      <bottom style="double">
        <color indexed="10"/>
      </bottom>
      <diagonal/>
    </border>
    <border>
      <left style="medium">
        <color indexed="64"/>
      </left>
      <right style="double">
        <color rgb="FFFF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rgb="FFFF0000"/>
      </right>
      <top/>
      <bottom style="thin">
        <color indexed="64"/>
      </bottom>
      <diagonal/>
    </border>
    <border>
      <left style="medium">
        <color indexed="64"/>
      </left>
      <right style="double">
        <color rgb="FFFF0000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double">
        <color indexed="10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indexed="1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rgb="FFFF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10"/>
      </right>
      <top/>
      <bottom style="medium">
        <color indexed="64"/>
      </bottom>
      <diagonal/>
    </border>
    <border>
      <left/>
      <right style="double">
        <color rgb="FFFF0000"/>
      </right>
      <top style="thin">
        <color indexed="64"/>
      </top>
      <bottom style="double">
        <color indexed="10"/>
      </bottom>
      <diagonal/>
    </border>
    <border>
      <left style="medium">
        <color rgb="FFFF0000"/>
      </left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double">
        <color indexed="10"/>
      </right>
      <top style="thin">
        <color indexed="64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/>
      <diagonal/>
    </border>
    <border>
      <left style="medium">
        <color indexed="64"/>
      </left>
      <right style="double">
        <color rgb="FFFF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medium">
        <color indexed="64"/>
      </left>
      <right style="double">
        <color rgb="FFFF0000"/>
      </right>
      <top style="double">
        <color rgb="FFFF0000"/>
      </top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quotePrefix="1" applyFont="1" applyAlignment="1">
      <alignment horizontal="center"/>
    </xf>
    <xf numFmtId="0" fontId="1" fillId="0" borderId="4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5" xfId="0" applyFont="1" applyBorder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/>
    <xf numFmtId="0" fontId="2" fillId="0" borderId="6" xfId="0" applyFont="1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3" fillId="0" borderId="9" xfId="0" applyFont="1" applyBorder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/>
    <xf numFmtId="0" fontId="2" fillId="0" borderId="7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0" xfId="0" applyBorder="1"/>
    <xf numFmtId="0" fontId="8" fillId="0" borderId="0" xfId="0" applyFont="1"/>
    <xf numFmtId="0" fontId="8" fillId="0" borderId="0" xfId="0" applyFont="1" applyAlignment="1">
      <alignment horizontal="left"/>
    </xf>
    <xf numFmtId="0" fontId="0" fillId="0" borderId="8" xfId="0" applyBorder="1"/>
    <xf numFmtId="0" fontId="0" fillId="0" borderId="12" xfId="0" applyBorder="1"/>
    <xf numFmtId="0" fontId="7" fillId="0" borderId="9" xfId="0" applyFont="1" applyBorder="1" applyAlignment="1">
      <alignment horizontal="left"/>
    </xf>
    <xf numFmtId="0" fontId="9" fillId="0" borderId="0" xfId="0" applyFont="1"/>
    <xf numFmtId="0" fontId="9" fillId="0" borderId="12" xfId="0" applyFont="1" applyBorder="1"/>
    <xf numFmtId="0" fontId="0" fillId="0" borderId="11" xfId="0" applyBorder="1"/>
    <xf numFmtId="0" fontId="2" fillId="0" borderId="12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0" fillId="0" borderId="9" xfId="0" applyFont="1" applyBorder="1"/>
    <xf numFmtId="0" fontId="4" fillId="0" borderId="3" xfId="0" applyFont="1" applyBorder="1" applyAlignment="1">
      <alignment horizontal="center"/>
    </xf>
    <xf numFmtId="0" fontId="1" fillId="0" borderId="13" xfId="0" applyFont="1" applyBorder="1"/>
    <xf numFmtId="0" fontId="2" fillId="0" borderId="4" xfId="0" applyFont="1" applyBorder="1" applyAlignment="1">
      <alignment horizontal="left"/>
    </xf>
    <xf numFmtId="0" fontId="11" fillId="0" borderId="12" xfId="0" applyFont="1" applyBorder="1" applyAlignment="1">
      <alignment horizontal="center"/>
    </xf>
    <xf numFmtId="0" fontId="5" fillId="0" borderId="0" xfId="0" applyFont="1"/>
    <xf numFmtId="0" fontId="11" fillId="0" borderId="9" xfId="0" applyFont="1" applyBorder="1"/>
    <xf numFmtId="0" fontId="0" fillId="0" borderId="6" xfId="0" applyBorder="1"/>
    <xf numFmtId="0" fontId="11" fillId="0" borderId="7" xfId="0" applyFont="1" applyBorder="1"/>
    <xf numFmtId="0" fontId="0" fillId="0" borderId="80" xfId="0" applyBorder="1"/>
    <xf numFmtId="0" fontId="1" fillId="0" borderId="14" xfId="0" applyFont="1" applyBorder="1"/>
    <xf numFmtId="0" fontId="1" fillId="0" borderId="15" xfId="0" applyFont="1" applyBorder="1"/>
    <xf numFmtId="0" fontId="6" fillId="0" borderId="14" xfId="0" applyFont="1" applyBorder="1"/>
    <xf numFmtId="0" fontId="1" fillId="0" borderId="16" xfId="0" applyFont="1" applyBorder="1"/>
    <xf numFmtId="0" fontId="1" fillId="0" borderId="17" xfId="0" applyFont="1" applyBorder="1"/>
    <xf numFmtId="0" fontId="3" fillId="0" borderId="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81" xfId="0" applyBorder="1"/>
    <xf numFmtId="0" fontId="7" fillId="0" borderId="80" xfId="0" applyFont="1" applyBorder="1" applyAlignment="1">
      <alignment horizontal="left"/>
    </xf>
    <xf numFmtId="0" fontId="4" fillId="0" borderId="80" xfId="0" applyFont="1" applyBorder="1"/>
    <xf numFmtId="0" fontId="5" fillId="0" borderId="82" xfId="0" applyFont="1" applyBorder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83" xfId="0" applyFill="1" applyBorder="1" applyAlignment="1">
      <alignment horizontal="center"/>
    </xf>
    <xf numFmtId="0" fontId="0" fillId="3" borderId="8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3" fontId="0" fillId="3" borderId="85" xfId="0" applyNumberFormat="1" applyFill="1" applyBorder="1" applyAlignment="1">
      <alignment horizontal="center"/>
    </xf>
    <xf numFmtId="0" fontId="0" fillId="3" borderId="86" xfId="0" applyFill="1" applyBorder="1" applyAlignment="1">
      <alignment horizontal="center"/>
    </xf>
    <xf numFmtId="0" fontId="0" fillId="3" borderId="87" xfId="0" applyFill="1" applyBorder="1" applyAlignment="1">
      <alignment horizontal="center"/>
    </xf>
    <xf numFmtId="0" fontId="0" fillId="3" borderId="88" xfId="0" applyFill="1" applyBorder="1" applyAlignment="1">
      <alignment horizontal="center"/>
    </xf>
    <xf numFmtId="3" fontId="0" fillId="3" borderId="89" xfId="0" applyNumberFormat="1" applyFill="1" applyBorder="1" applyAlignment="1">
      <alignment horizontal="center"/>
    </xf>
    <xf numFmtId="3" fontId="0" fillId="3" borderId="90" xfId="0" applyNumberFormat="1" applyFill="1" applyBorder="1" applyAlignment="1">
      <alignment horizontal="center"/>
    </xf>
    <xf numFmtId="0" fontId="0" fillId="0" borderId="48" xfId="0" applyBorder="1"/>
    <xf numFmtId="0" fontId="0" fillId="0" borderId="49" xfId="0" applyBorder="1"/>
    <xf numFmtId="0" fontId="13" fillId="0" borderId="7" xfId="0" applyFont="1" applyBorder="1"/>
    <xf numFmtId="0" fontId="14" fillId="0" borderId="9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1" fillId="0" borderId="49" xfId="0" applyFont="1" applyBorder="1"/>
    <xf numFmtId="0" fontId="0" fillId="2" borderId="53" xfId="0" applyFill="1" applyBorder="1"/>
    <xf numFmtId="0" fontId="2" fillId="2" borderId="49" xfId="0" applyFont="1" applyFill="1" applyBorder="1"/>
    <xf numFmtId="1" fontId="0" fillId="0" borderId="0" xfId="0" applyNumberFormat="1"/>
    <xf numFmtId="3" fontId="11" fillId="0" borderId="0" xfId="0" applyNumberFormat="1" applyFont="1" applyAlignment="1">
      <alignment horizontal="left"/>
    </xf>
    <xf numFmtId="0" fontId="4" fillId="0" borderId="55" xfId="0" applyFont="1" applyBorder="1" applyAlignment="1">
      <alignment horizontal="center"/>
    </xf>
    <xf numFmtId="0" fontId="15" fillId="0" borderId="0" xfId="0" applyFont="1"/>
    <xf numFmtId="0" fontId="0" fillId="0" borderId="19" xfId="0" applyBorder="1" applyAlignment="1">
      <alignment horizontal="center"/>
    </xf>
    <xf numFmtId="0" fontId="5" fillId="0" borderId="10" xfId="0" applyFont="1" applyBorder="1"/>
    <xf numFmtId="0" fontId="0" fillId="0" borderId="12" xfId="0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11" fillId="0" borderId="93" xfId="0" applyFont="1" applyBorder="1" applyAlignment="1">
      <alignment horizontal="center"/>
    </xf>
    <xf numFmtId="0" fontId="0" fillId="0" borderId="18" xfId="0" applyBorder="1"/>
    <xf numFmtId="0" fontId="0" fillId="0" borderId="94" xfId="0" applyBorder="1"/>
    <xf numFmtId="0" fontId="11" fillId="0" borderId="0" xfId="0" applyFont="1" applyAlignment="1">
      <alignment horizontal="center" vertical="center"/>
    </xf>
    <xf numFmtId="0" fontId="11" fillId="0" borderId="95" xfId="0" applyFont="1" applyBorder="1" applyAlignment="1">
      <alignment horizontal="center" vertical="center"/>
    </xf>
    <xf numFmtId="0" fontId="1" fillId="0" borderId="96" xfId="0" applyFont="1" applyBorder="1"/>
    <xf numFmtId="0" fontId="0" fillId="3" borderId="75" xfId="0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0" borderId="102" xfId="0" applyBorder="1" applyAlignment="1">
      <alignment horizontal="center"/>
    </xf>
    <xf numFmtId="0" fontId="3" fillId="0" borderId="103" xfId="0" applyFont="1" applyBorder="1" applyAlignment="1">
      <alignment horizontal="center"/>
    </xf>
    <xf numFmtId="0" fontId="0" fillId="3" borderId="104" xfId="0" applyFill="1" applyBorder="1" applyAlignment="1">
      <alignment horizontal="center"/>
    </xf>
    <xf numFmtId="0" fontId="0" fillId="5" borderId="65" xfId="0" applyFill="1" applyBorder="1" applyAlignment="1">
      <alignment horizontal="center"/>
    </xf>
    <xf numFmtId="0" fontId="0" fillId="5" borderId="64" xfId="0" applyFill="1" applyBorder="1" applyAlignment="1">
      <alignment horizontal="center"/>
    </xf>
    <xf numFmtId="2" fontId="0" fillId="4" borderId="74" xfId="0" applyNumberFormat="1" applyFill="1" applyBorder="1" applyAlignment="1">
      <alignment horizontal="center"/>
    </xf>
    <xf numFmtId="0" fontId="0" fillId="5" borderId="6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71" xfId="0" applyFill="1" applyBorder="1" applyAlignment="1">
      <alignment horizontal="center"/>
    </xf>
    <xf numFmtId="0" fontId="0" fillId="5" borderId="70" xfId="0" applyFill="1" applyBorder="1" applyAlignment="1">
      <alignment horizontal="center"/>
    </xf>
    <xf numFmtId="0" fontId="0" fillId="5" borderId="63" xfId="0" applyFill="1" applyBorder="1" applyAlignment="1">
      <alignment horizontal="center"/>
    </xf>
    <xf numFmtId="0" fontId="0" fillId="4" borderId="62" xfId="0" applyFill="1" applyBorder="1" applyAlignment="1">
      <alignment horizontal="center"/>
    </xf>
    <xf numFmtId="0" fontId="0" fillId="3" borderId="61" xfId="0" applyFill="1" applyBorder="1" applyAlignment="1">
      <alignment horizontal="center"/>
    </xf>
    <xf numFmtId="0" fontId="0" fillId="5" borderId="59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12" fillId="4" borderId="57" xfId="0" applyFont="1" applyFill="1" applyBorder="1" applyAlignment="1">
      <alignment horizontal="center"/>
    </xf>
    <xf numFmtId="0" fontId="0" fillId="3" borderId="56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4" borderId="68" xfId="0" applyFill="1" applyBorder="1" applyAlignment="1">
      <alignment horizontal="center"/>
    </xf>
    <xf numFmtId="0" fontId="0" fillId="4" borderId="67" xfId="0" applyFill="1" applyBorder="1" applyAlignment="1">
      <alignment horizontal="center"/>
    </xf>
    <xf numFmtId="0" fontId="0" fillId="4" borderId="66" xfId="0" applyFill="1" applyBorder="1" applyAlignment="1">
      <alignment horizontal="center"/>
    </xf>
    <xf numFmtId="2" fontId="0" fillId="3" borderId="73" xfId="0" applyNumberFormat="1" applyFill="1" applyBorder="1" applyAlignment="1">
      <alignment horizontal="center"/>
    </xf>
    <xf numFmtId="2" fontId="0" fillId="3" borderId="72" xfId="0" applyNumberFormat="1" applyFill="1" applyBorder="1" applyAlignment="1">
      <alignment horizontal="center"/>
    </xf>
    <xf numFmtId="2" fontId="0" fillId="3" borderId="69" xfId="0" applyNumberFormat="1" applyFill="1" applyBorder="1" applyAlignment="1">
      <alignment horizontal="center"/>
    </xf>
    <xf numFmtId="1" fontId="0" fillId="4" borderId="66" xfId="0" applyNumberForma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49" fontId="0" fillId="0" borderId="0" xfId="0" applyNumberFormat="1"/>
    <xf numFmtId="0" fontId="16" fillId="0" borderId="0" xfId="0" applyFont="1"/>
    <xf numFmtId="0" fontId="0" fillId="0" borderId="107" xfId="0" applyBorder="1"/>
    <xf numFmtId="0" fontId="0" fillId="0" borderId="108" xfId="0" applyBorder="1"/>
    <xf numFmtId="0" fontId="17" fillId="0" borderId="105" xfId="0" applyFont="1" applyBorder="1" applyAlignment="1">
      <alignment horizontal="center"/>
    </xf>
    <xf numFmtId="0" fontId="17" fillId="0" borderId="106" xfId="0" applyFont="1" applyBorder="1" applyAlignment="1">
      <alignment horizontal="center"/>
    </xf>
    <xf numFmtId="164" fontId="0" fillId="3" borderId="24" xfId="0" applyNumberFormat="1" applyFill="1" applyBorder="1" applyAlignment="1">
      <alignment horizontal="center"/>
    </xf>
    <xf numFmtId="164" fontId="0" fillId="3" borderId="76" xfId="0" applyNumberFormat="1" applyFill="1" applyBorder="1" applyAlignment="1">
      <alignment horizontal="center"/>
    </xf>
    <xf numFmtId="164" fontId="0" fillId="3" borderId="27" xfId="0" applyNumberFormat="1" applyFill="1" applyBorder="1" applyAlignment="1">
      <alignment horizontal="center"/>
    </xf>
    <xf numFmtId="164" fontId="0" fillId="3" borderId="75" xfId="0" applyNumberFormat="1" applyFill="1" applyBorder="1" applyAlignment="1">
      <alignment horizontal="center"/>
    </xf>
    <xf numFmtId="164" fontId="0" fillId="3" borderId="30" xfId="0" applyNumberFormat="1" applyFill="1" applyBorder="1" applyAlignment="1">
      <alignment horizontal="center"/>
    </xf>
    <xf numFmtId="164" fontId="0" fillId="3" borderId="28" xfId="0" applyNumberFormat="1" applyFill="1" applyBorder="1" applyAlignment="1">
      <alignment horizontal="center"/>
    </xf>
    <xf numFmtId="164" fontId="0" fillId="3" borderId="89" xfId="0" applyNumberFormat="1" applyFill="1" applyBorder="1"/>
    <xf numFmtId="164" fontId="0" fillId="3" borderId="85" xfId="0" applyNumberFormat="1" applyFill="1" applyBorder="1"/>
    <xf numFmtId="165" fontId="0" fillId="3" borderId="31" xfId="0" applyNumberFormat="1" applyFill="1" applyBorder="1" applyAlignment="1">
      <alignment horizontal="center"/>
    </xf>
    <xf numFmtId="165" fontId="0" fillId="3" borderId="32" xfId="0" applyNumberFormat="1" applyFill="1" applyBorder="1" applyAlignment="1">
      <alignment horizontal="center"/>
    </xf>
    <xf numFmtId="165" fontId="0" fillId="3" borderId="33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3" borderId="78" xfId="0" applyNumberFormat="1" applyFill="1" applyBorder="1" applyAlignment="1">
      <alignment horizontal="center"/>
    </xf>
    <xf numFmtId="165" fontId="0" fillId="3" borderId="79" xfId="0" applyNumberFormat="1" applyFill="1" applyBorder="1" applyAlignment="1">
      <alignment horizontal="center"/>
    </xf>
    <xf numFmtId="165" fontId="0" fillId="3" borderId="41" xfId="0" applyNumberFormat="1" applyFill="1" applyBorder="1" applyAlignment="1">
      <alignment horizontal="center"/>
    </xf>
    <xf numFmtId="166" fontId="0" fillId="6" borderId="52" xfId="0" applyNumberFormat="1" applyFill="1" applyBorder="1"/>
    <xf numFmtId="164" fontId="0" fillId="3" borderId="25" xfId="0" applyNumberFormat="1" applyFill="1" applyBorder="1" applyAlignment="1">
      <alignment horizontal="center"/>
    </xf>
    <xf numFmtId="164" fontId="0" fillId="3" borderId="26" xfId="0" applyNumberFormat="1" applyFill="1" applyBorder="1"/>
    <xf numFmtId="164" fontId="0" fillId="0" borderId="0" xfId="0" applyNumberFormat="1"/>
    <xf numFmtId="164" fontId="0" fillId="3" borderId="29" xfId="0" applyNumberFormat="1" applyFill="1" applyBorder="1"/>
    <xf numFmtId="165" fontId="0" fillId="3" borderId="34" xfId="0" applyNumberFormat="1" applyFill="1" applyBorder="1" applyAlignment="1">
      <alignment horizontal="center"/>
    </xf>
    <xf numFmtId="165" fontId="0" fillId="3" borderId="35" xfId="0" applyNumberFormat="1" applyFill="1" applyBorder="1" applyAlignment="1">
      <alignment horizontal="center"/>
    </xf>
    <xf numFmtId="165" fontId="0" fillId="3" borderId="36" xfId="0" applyNumberFormat="1" applyFill="1" applyBorder="1" applyAlignment="1">
      <alignment horizontal="center"/>
    </xf>
    <xf numFmtId="165" fontId="0" fillId="3" borderId="37" xfId="0" applyNumberFormat="1" applyFill="1" applyBorder="1" applyAlignment="1">
      <alignment horizontal="center"/>
    </xf>
    <xf numFmtId="165" fontId="0" fillId="3" borderId="27" xfId="0" applyNumberFormat="1" applyFill="1" applyBorder="1" applyAlignment="1">
      <alignment horizontal="center"/>
    </xf>
    <xf numFmtId="165" fontId="0" fillId="3" borderId="38" xfId="0" applyNumberFormat="1" applyFill="1" applyBorder="1" applyAlignment="1">
      <alignment horizontal="center"/>
    </xf>
    <xf numFmtId="165" fontId="0" fillId="3" borderId="39" xfId="0" applyNumberFormat="1" applyFill="1" applyBorder="1" applyAlignment="1">
      <alignment horizontal="center"/>
    </xf>
    <xf numFmtId="165" fontId="0" fillId="3" borderId="28" xfId="0" applyNumberFormat="1" applyFill="1" applyBorder="1" applyAlignment="1">
      <alignment horizontal="center"/>
    </xf>
    <xf numFmtId="165" fontId="0" fillId="3" borderId="30" xfId="0" applyNumberFormat="1" applyFill="1" applyBorder="1" applyAlignment="1">
      <alignment horizontal="center"/>
    </xf>
    <xf numFmtId="165" fontId="0" fillId="3" borderId="29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3" borderId="97" xfId="0" applyNumberFormat="1" applyFill="1" applyBorder="1" applyAlignment="1">
      <alignment horizontal="center"/>
    </xf>
    <xf numFmtId="164" fontId="0" fillId="3" borderId="98" xfId="0" applyNumberFormat="1" applyFill="1" applyBorder="1" applyAlignment="1">
      <alignment horizontal="center"/>
    </xf>
    <xf numFmtId="164" fontId="0" fillId="3" borderId="101" xfId="0" applyNumberFormat="1" applyFill="1" applyBorder="1" applyAlignment="1">
      <alignment horizontal="center"/>
    </xf>
    <xf numFmtId="164" fontId="0" fillId="3" borderId="99" xfId="0" applyNumberFormat="1" applyFill="1" applyBorder="1" applyAlignment="1">
      <alignment horizontal="center"/>
    </xf>
    <xf numFmtId="164" fontId="0" fillId="0" borderId="100" xfId="0" applyNumberFormat="1" applyBorder="1" applyAlignment="1">
      <alignment horizontal="center"/>
    </xf>
    <xf numFmtId="7" fontId="0" fillId="0" borderId="0" xfId="0" applyNumberFormat="1"/>
    <xf numFmtId="7" fontId="0" fillId="0" borderId="0" xfId="0" applyNumberFormat="1" applyAlignment="1">
      <alignment horizontal="center"/>
    </xf>
    <xf numFmtId="0" fontId="18" fillId="0" borderId="0" xfId="0" applyFont="1"/>
    <xf numFmtId="0" fontId="18" fillId="8" borderId="0" xfId="0" applyFont="1" applyFill="1" applyAlignment="1">
      <alignment horizontal="center" vertical="center" wrapText="1"/>
    </xf>
    <xf numFmtId="0" fontId="18" fillId="8" borderId="110" xfId="0" applyFont="1" applyFill="1" applyBorder="1" applyAlignment="1">
      <alignment horizontal="center" vertical="center" wrapText="1"/>
    </xf>
    <xf numFmtId="0" fontId="18" fillId="8" borderId="110" xfId="0" applyFont="1" applyFill="1" applyBorder="1" applyAlignment="1">
      <alignment horizontal="left" vertical="center" wrapText="1"/>
    </xf>
    <xf numFmtId="2" fontId="0" fillId="0" borderId="110" xfId="0" applyNumberFormat="1" applyBorder="1" applyAlignment="1">
      <alignment horizontal="center" vertical="center" wrapText="1"/>
    </xf>
    <xf numFmtId="2" fontId="18" fillId="8" borderId="110" xfId="0" applyNumberFormat="1" applyFont="1" applyFill="1" applyBorder="1" applyAlignment="1">
      <alignment horizontal="center" vertical="center" wrapText="1"/>
    </xf>
    <xf numFmtId="0" fontId="18" fillId="8" borderId="110" xfId="0" applyFont="1" applyFill="1" applyBorder="1"/>
    <xf numFmtId="0" fontId="18" fillId="8" borderId="0" xfId="0" applyFont="1" applyFill="1" applyAlignment="1">
      <alignment horizontal="left" vertical="center" wrapText="1"/>
    </xf>
    <xf numFmtId="167" fontId="0" fillId="7" borderId="0" xfId="0" applyNumberFormat="1" applyFill="1"/>
    <xf numFmtId="0" fontId="0" fillId="0" borderId="110" xfId="0" applyBorder="1" applyAlignment="1">
      <alignment horizontal="left" vertical="center" wrapText="1"/>
    </xf>
    <xf numFmtId="0" fontId="19" fillId="0" borderId="0" xfId="0" applyFont="1"/>
    <xf numFmtId="2" fontId="0" fillId="5" borderId="110" xfId="0" applyNumberFormat="1" applyFill="1" applyBorder="1" applyAlignment="1">
      <alignment horizontal="center" vertical="center" wrapText="1"/>
    </xf>
    <xf numFmtId="1" fontId="0" fillId="5" borderId="110" xfId="0" applyNumberFormat="1" applyFill="1" applyBorder="1" applyAlignment="1">
      <alignment horizontal="center" vertical="center" wrapText="1"/>
    </xf>
    <xf numFmtId="168" fontId="20" fillId="9" borderId="0" xfId="0" applyNumberFormat="1" applyFont="1" applyFill="1"/>
    <xf numFmtId="168" fontId="0" fillId="10" borderId="0" xfId="0" applyNumberFormat="1" applyFill="1"/>
    <xf numFmtId="2" fontId="0" fillId="11" borderId="110" xfId="0" applyNumberFormat="1" applyFill="1" applyBorder="1" applyAlignment="1">
      <alignment horizontal="center" vertical="center" wrapText="1"/>
    </xf>
    <xf numFmtId="2" fontId="0" fillId="10" borderId="110" xfId="0" applyNumberFormat="1" applyFill="1" applyBorder="1" applyAlignment="1">
      <alignment horizontal="center" vertical="center" wrapText="1"/>
    </xf>
    <xf numFmtId="0" fontId="18" fillId="7" borderId="0" xfId="0" applyFont="1" applyFill="1"/>
    <xf numFmtId="0" fontId="0" fillId="0" borderId="0" xfId="0"/>
    <xf numFmtId="0" fontId="18" fillId="0" borderId="0" xfId="0" applyFont="1"/>
    <xf numFmtId="0" fontId="18" fillId="7" borderId="0" xfId="0" applyFont="1" applyFill="1" applyAlignment="1">
      <alignment horizontal="center" vertical="center" wrapText="1"/>
    </xf>
    <xf numFmtId="3" fontId="11" fillId="0" borderId="51" xfId="0" applyNumberFormat="1" applyFont="1" applyBorder="1" applyAlignment="1">
      <alignment horizontal="right"/>
    </xf>
    <xf numFmtId="0" fontId="0" fillId="0" borderId="51" xfId="0" applyBorder="1"/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77" xfId="0" applyFont="1" applyBorder="1" applyAlignment="1">
      <alignment horizontal="center" vertical="center"/>
    </xf>
    <xf numFmtId="0" fontId="0" fillId="0" borderId="77" xfId="0" applyBorder="1"/>
    <xf numFmtId="0" fontId="14" fillId="0" borderId="109" xfId="0" applyFont="1" applyBorder="1" applyAlignment="1">
      <alignment horizontal="center" vertical="center" wrapText="1"/>
    </xf>
    <xf numFmtId="0" fontId="0" fillId="0" borderId="83" xfId="0" applyBorder="1"/>
    <xf numFmtId="0" fontId="0" fillId="0" borderId="91" xfId="0" applyBorder="1"/>
    <xf numFmtId="0" fontId="11" fillId="0" borderId="92" xfId="0" applyFont="1" applyBorder="1" applyAlignment="1">
      <alignment horizontal="center"/>
    </xf>
    <xf numFmtId="0" fontId="0" fillId="0" borderId="92" xfId="0" applyBorder="1"/>
    <xf numFmtId="0" fontId="11" fillId="0" borderId="50" xfId="0" applyFont="1" applyBorder="1" applyAlignment="1">
      <alignment horizontal="center" vertical="center"/>
    </xf>
    <xf numFmtId="0" fontId="0" fillId="0" borderId="50" xfId="0" applyBorder="1"/>
    <xf numFmtId="0" fontId="11" fillId="0" borderId="9" xfId="0" applyFont="1" applyBorder="1" applyAlignment="1">
      <alignment horizontal="center" vertical="center"/>
    </xf>
    <xf numFmtId="0" fontId="0" fillId="0" borderId="9" xfId="0" applyBorder="1"/>
    <xf numFmtId="0" fontId="0" fillId="0" borderId="107" xfId="0" applyFill="1" applyBorder="1" applyAlignment="1"/>
    <xf numFmtId="0" fontId="0" fillId="0" borderId="108" xfId="0" applyFill="1" applyBorder="1" applyAlignment="1"/>
    <xf numFmtId="0" fontId="17" fillId="0" borderId="105" xfId="0" applyFont="1" applyFill="1" applyBorder="1" applyAlignment="1">
      <alignment horizontal="center"/>
    </xf>
    <xf numFmtId="0" fontId="17" fillId="0" borderId="10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6"/>
  <sheetViews>
    <sheetView showGridLines="0" topLeftCell="A24" zoomScale="200" workbookViewId="0">
      <selection activeCell="I35" sqref="I35"/>
    </sheetView>
  </sheetViews>
  <sheetFormatPr defaultColWidth="10.85546875" defaultRowHeight="12.75" x14ac:dyDescent="0.2"/>
  <cols>
    <col min="1" max="1" width="2.5703125" customWidth="1"/>
    <col min="2" max="2" width="6.85546875" bestFit="1" customWidth="1"/>
    <col min="3" max="3" width="20" bestFit="1" customWidth="1"/>
    <col min="4" max="4" width="7" bestFit="1" customWidth="1"/>
    <col min="5" max="5" width="13.42578125" bestFit="1" customWidth="1"/>
    <col min="6" max="6" width="12.42578125" bestFit="1" customWidth="1"/>
    <col min="7" max="8" width="12.85546875" bestFit="1" customWidth="1"/>
  </cols>
  <sheetData>
    <row r="1" spans="1:8" x14ac:dyDescent="0.2">
      <c r="A1" s="144" t="s">
        <v>0</v>
      </c>
    </row>
    <row r="2" spans="1:8" x14ac:dyDescent="0.2">
      <c r="A2" s="144" t="s">
        <v>1</v>
      </c>
    </row>
    <row r="3" spans="1:8" x14ac:dyDescent="0.2">
      <c r="A3" s="144" t="s">
        <v>2</v>
      </c>
    </row>
    <row r="6" spans="1:8" ht="14.1" customHeight="1" thickBot="1" x14ac:dyDescent="0.25">
      <c r="A6" t="s">
        <v>3</v>
      </c>
    </row>
    <row r="7" spans="1:8" x14ac:dyDescent="0.2">
      <c r="B7" s="147"/>
      <c r="C7" s="147"/>
      <c r="D7" s="147" t="s">
        <v>4</v>
      </c>
      <c r="E7" s="147" t="s">
        <v>5</v>
      </c>
      <c r="F7" s="147" t="s">
        <v>6</v>
      </c>
      <c r="G7" s="147" t="s">
        <v>7</v>
      </c>
      <c r="H7" s="147" t="s">
        <v>7</v>
      </c>
    </row>
    <row r="8" spans="1:8" ht="14.1" customHeight="1" thickBot="1" x14ac:dyDescent="0.25">
      <c r="B8" s="148" t="s">
        <v>8</v>
      </c>
      <c r="C8" s="148" t="s">
        <v>9</v>
      </c>
      <c r="D8" s="148" t="s">
        <v>10</v>
      </c>
      <c r="E8" s="148" t="s">
        <v>11</v>
      </c>
      <c r="F8" s="148" t="s">
        <v>12</v>
      </c>
      <c r="G8" s="148" t="s">
        <v>13</v>
      </c>
      <c r="H8" s="148" t="s">
        <v>14</v>
      </c>
    </row>
    <row r="9" spans="1:8" x14ac:dyDescent="0.2">
      <c r="B9" s="145" t="s">
        <v>15</v>
      </c>
      <c r="C9" s="145" t="s">
        <v>16</v>
      </c>
      <c r="D9" s="145">
        <v>29.04</v>
      </c>
      <c r="E9" s="145">
        <v>0</v>
      </c>
      <c r="F9" s="145">
        <v>2.64374E-2</v>
      </c>
      <c r="G9" s="145">
        <v>2.6437999999999822E-3</v>
      </c>
      <c r="H9" s="145">
        <v>8.2242857142919058E-4</v>
      </c>
    </row>
    <row r="10" spans="1:8" x14ac:dyDescent="0.2">
      <c r="B10" s="145" t="s">
        <v>17</v>
      </c>
      <c r="C10" s="145" t="s">
        <v>18</v>
      </c>
      <c r="D10" s="145">
        <v>0.9599999999999973</v>
      </c>
      <c r="E10" s="145">
        <v>0</v>
      </c>
      <c r="F10" s="145">
        <v>1.6686400000000001E-2</v>
      </c>
      <c r="G10" s="145">
        <v>4.9000000000021249E-5</v>
      </c>
      <c r="H10" s="145">
        <v>2.6437999999999831E-3</v>
      </c>
    </row>
    <row r="11" spans="1:8" x14ac:dyDescent="0.2">
      <c r="B11" s="145" t="s">
        <v>19</v>
      </c>
      <c r="C11" s="145" t="s">
        <v>20</v>
      </c>
      <c r="D11" s="145">
        <v>0</v>
      </c>
      <c r="E11" s="145">
        <v>1.033900000000001E-2</v>
      </c>
      <c r="F11" s="145">
        <v>3.6825400000000001E-2</v>
      </c>
      <c r="G11" s="145">
        <v>1E+30</v>
      </c>
      <c r="H11" s="145">
        <v>1.033900000000001E-2</v>
      </c>
    </row>
    <row r="12" spans="1:8" x14ac:dyDescent="0.2">
      <c r="B12" s="145" t="s">
        <v>21</v>
      </c>
      <c r="C12" s="145" t="s">
        <v>22</v>
      </c>
      <c r="D12" s="145">
        <v>25.44</v>
      </c>
      <c r="E12" s="145">
        <v>0</v>
      </c>
      <c r="F12" s="145">
        <v>1.6735400000000001E-2</v>
      </c>
      <c r="G12" s="145">
        <v>2.6437999999999831E-3</v>
      </c>
      <c r="H12" s="145">
        <v>4.9000000000021249E-5</v>
      </c>
    </row>
    <row r="13" spans="1:8" x14ac:dyDescent="0.2">
      <c r="B13" s="145" t="s">
        <v>23</v>
      </c>
      <c r="C13" s="145" t="s">
        <v>24</v>
      </c>
      <c r="D13" s="145">
        <v>0</v>
      </c>
      <c r="E13" s="145">
        <v>2.884145454545435E-3</v>
      </c>
      <c r="F13" s="145">
        <v>3.1778399999999998E-2</v>
      </c>
      <c r="G13" s="145">
        <v>1E+30</v>
      </c>
      <c r="H13" s="145">
        <v>2.884145454545435E-3</v>
      </c>
    </row>
    <row r="14" spans="1:8" x14ac:dyDescent="0.2">
      <c r="B14" s="145" t="s">
        <v>25</v>
      </c>
      <c r="C14" s="145" t="s">
        <v>26</v>
      </c>
      <c r="D14" s="145">
        <v>0</v>
      </c>
      <c r="E14" s="145">
        <v>1.4256599999999941E-2</v>
      </c>
      <c r="F14" s="145">
        <v>3.2513399999999998E-2</v>
      </c>
      <c r="G14" s="145">
        <v>1E+30</v>
      </c>
      <c r="H14" s="145">
        <v>1.4256599999999941E-2</v>
      </c>
    </row>
    <row r="15" spans="1:8" x14ac:dyDescent="0.2">
      <c r="B15" s="145" t="s">
        <v>27</v>
      </c>
      <c r="C15" s="145" t="s">
        <v>28</v>
      </c>
      <c r="D15" s="145">
        <v>103</v>
      </c>
      <c r="E15" s="145">
        <v>0</v>
      </c>
      <c r="F15" s="145">
        <v>0</v>
      </c>
      <c r="G15" s="145">
        <v>3.1285714285714368E-2</v>
      </c>
      <c r="H15" s="145">
        <v>1E+30</v>
      </c>
    </row>
    <row r="16" spans="1:8" x14ac:dyDescent="0.2">
      <c r="B16" s="145" t="s">
        <v>29</v>
      </c>
      <c r="C16" s="145" t="s">
        <v>30</v>
      </c>
      <c r="D16" s="145">
        <v>74</v>
      </c>
      <c r="E16" s="145">
        <v>0</v>
      </c>
      <c r="F16" s="145">
        <v>4.0357142857142841E-2</v>
      </c>
      <c r="G16" s="145">
        <v>4.1865320733945452E-17</v>
      </c>
      <c r="H16" s="145">
        <v>1E+30</v>
      </c>
    </row>
    <row r="17" spans="1:8" x14ac:dyDescent="0.2">
      <c r="B17" s="145" t="s">
        <v>31</v>
      </c>
      <c r="C17" s="145" t="s">
        <v>32</v>
      </c>
      <c r="D17" s="145">
        <v>0</v>
      </c>
      <c r="E17" s="145">
        <v>1.385714285714284E-2</v>
      </c>
      <c r="F17" s="145">
        <v>5.1714285714285768E-2</v>
      </c>
      <c r="G17" s="145">
        <v>1E+30</v>
      </c>
      <c r="H17" s="145">
        <v>1.385714285714284E-2</v>
      </c>
    </row>
    <row r="18" spans="1:8" x14ac:dyDescent="0.2">
      <c r="B18" s="145" t="s">
        <v>33</v>
      </c>
      <c r="C18" s="145" t="s">
        <v>34</v>
      </c>
      <c r="D18" s="145">
        <v>60</v>
      </c>
      <c r="E18" s="145">
        <v>0</v>
      </c>
      <c r="F18" s="145">
        <v>1.7357142857142849E-2</v>
      </c>
      <c r="G18" s="145">
        <v>8.8571428571430078E-3</v>
      </c>
      <c r="H18" s="145">
        <v>1E+30</v>
      </c>
    </row>
    <row r="19" spans="1:8" x14ac:dyDescent="0.2">
      <c r="B19" s="145" t="s">
        <v>35</v>
      </c>
      <c r="C19" s="145" t="s">
        <v>36</v>
      </c>
      <c r="D19" s="145">
        <v>0</v>
      </c>
      <c r="E19" s="145">
        <v>3.342857142857137E-2</v>
      </c>
      <c r="F19" s="145">
        <v>5.514285714285716E-2</v>
      </c>
      <c r="G19" s="145">
        <v>1E+30</v>
      </c>
      <c r="H19" s="145">
        <v>3.342857142857137E-2</v>
      </c>
    </row>
    <row r="20" spans="1:8" x14ac:dyDescent="0.2">
      <c r="B20" s="145" t="s">
        <v>37</v>
      </c>
      <c r="C20" s="145" t="s">
        <v>38</v>
      </c>
      <c r="D20" s="145">
        <v>0</v>
      </c>
      <c r="E20" s="145">
        <v>2.5071428571428401E-2</v>
      </c>
      <c r="F20" s="145">
        <v>5.2999999999999943E-2</v>
      </c>
      <c r="G20" s="145">
        <v>1E+30</v>
      </c>
      <c r="H20" s="145">
        <v>2.5071428571428401E-2</v>
      </c>
    </row>
    <row r="21" spans="1:8" x14ac:dyDescent="0.2">
      <c r="B21" s="145" t="s">
        <v>39</v>
      </c>
      <c r="C21" s="145" t="s">
        <v>40</v>
      </c>
      <c r="D21" s="145">
        <v>4.9999999999999529</v>
      </c>
      <c r="E21" s="145">
        <v>0</v>
      </c>
      <c r="F21" s="145">
        <v>4.1857142857142933E-2</v>
      </c>
      <c r="G21" s="145">
        <v>1.385714285714284E-2</v>
      </c>
      <c r="H21" s="145">
        <v>4.1865320733945433E-17</v>
      </c>
    </row>
    <row r="22" spans="1:8" x14ac:dyDescent="0.2">
      <c r="B22" s="145" t="s">
        <v>41</v>
      </c>
      <c r="C22" s="145" t="s">
        <v>42</v>
      </c>
      <c r="D22" s="145">
        <v>0</v>
      </c>
      <c r="E22" s="145">
        <v>3.1285714285714368E-2</v>
      </c>
      <c r="F22" s="145">
        <v>3.2357142857142862E-2</v>
      </c>
      <c r="G22" s="145">
        <v>1E+30</v>
      </c>
      <c r="H22" s="145">
        <v>3.1285714285714368E-2</v>
      </c>
    </row>
    <row r="23" spans="1:8" x14ac:dyDescent="0.2">
      <c r="B23" s="145" t="s">
        <v>43</v>
      </c>
      <c r="C23" s="145" t="s">
        <v>44</v>
      </c>
      <c r="D23" s="145">
        <v>0</v>
      </c>
      <c r="E23" s="145">
        <v>4.1865320733945452E-17</v>
      </c>
      <c r="F23" s="145">
        <v>4.142857142857137E-2</v>
      </c>
      <c r="G23" s="145">
        <v>1E+30</v>
      </c>
      <c r="H23" s="145">
        <v>4.1865320733945452E-17</v>
      </c>
    </row>
    <row r="24" spans="1:8" x14ac:dyDescent="0.2">
      <c r="B24" s="145" t="s">
        <v>45</v>
      </c>
      <c r="C24" s="145" t="s">
        <v>46</v>
      </c>
      <c r="D24" s="145">
        <v>49.999999999999957</v>
      </c>
      <c r="E24" s="145">
        <v>0</v>
      </c>
      <c r="F24" s="145">
        <v>3.8928571428571417E-2</v>
      </c>
      <c r="G24" s="145">
        <v>1.385714285714284E-2</v>
      </c>
      <c r="H24" s="145">
        <v>2463437936863.8721</v>
      </c>
    </row>
    <row r="25" spans="1:8" x14ac:dyDescent="0.2">
      <c r="B25" s="145" t="s">
        <v>47</v>
      </c>
      <c r="C25" s="145" t="s">
        <v>48</v>
      </c>
      <c r="D25" s="145">
        <v>0</v>
      </c>
      <c r="E25" s="145">
        <v>8.8571428571430078E-3</v>
      </c>
      <c r="F25" s="145">
        <v>2.7285714285714361E-2</v>
      </c>
      <c r="G25" s="145">
        <v>1E+30</v>
      </c>
      <c r="H25" s="145">
        <v>8.8571428571430078E-3</v>
      </c>
    </row>
    <row r="26" spans="1:8" x14ac:dyDescent="0.2">
      <c r="B26" s="145" t="s">
        <v>49</v>
      </c>
      <c r="C26" s="145" t="s">
        <v>50</v>
      </c>
      <c r="D26" s="145">
        <v>102</v>
      </c>
      <c r="E26" s="145">
        <v>0</v>
      </c>
      <c r="F26" s="145">
        <v>2.2785714285714301E-2</v>
      </c>
      <c r="G26" s="145">
        <v>3.342857142857137E-2</v>
      </c>
      <c r="H26" s="145">
        <v>1E+30</v>
      </c>
    </row>
    <row r="27" spans="1:8" x14ac:dyDescent="0.2">
      <c r="B27" s="145" t="s">
        <v>51</v>
      </c>
      <c r="C27" s="145" t="s">
        <v>52</v>
      </c>
      <c r="D27" s="145">
        <v>60</v>
      </c>
      <c r="E27" s="145">
        <v>0</v>
      </c>
      <c r="F27" s="145">
        <v>2.9000000000000029E-2</v>
      </c>
      <c r="G27" s="145">
        <v>2.5071428571428401E-2</v>
      </c>
      <c r="H27" s="145">
        <v>1E+30</v>
      </c>
    </row>
    <row r="28" spans="1:8" ht="14.1" customHeight="1" thickBot="1" x14ac:dyDescent="0.25">
      <c r="B28" s="146" t="s">
        <v>53</v>
      </c>
      <c r="C28" s="146" t="s">
        <v>54</v>
      </c>
      <c r="D28" s="146">
        <v>8.000000000000048</v>
      </c>
      <c r="E28" s="146">
        <v>0</v>
      </c>
      <c r="F28" s="146">
        <v>4.2928571428571427E-2</v>
      </c>
      <c r="G28" s="146">
        <v>4.1865320733945433E-17</v>
      </c>
      <c r="H28" s="146">
        <v>1.385714285714284E-2</v>
      </c>
    </row>
    <row r="30" spans="1:8" ht="14.1" customHeight="1" thickBot="1" x14ac:dyDescent="0.25">
      <c r="A30" t="s">
        <v>55</v>
      </c>
    </row>
    <row r="31" spans="1:8" x14ac:dyDescent="0.2">
      <c r="B31" s="147"/>
      <c r="C31" s="147"/>
      <c r="D31" s="147" t="s">
        <v>4</v>
      </c>
      <c r="E31" s="147" t="s">
        <v>56</v>
      </c>
      <c r="F31" s="147" t="s">
        <v>57</v>
      </c>
      <c r="G31" s="147" t="s">
        <v>7</v>
      </c>
      <c r="H31" s="147" t="s">
        <v>7</v>
      </c>
    </row>
    <row r="32" spans="1:8" ht="14.1" customHeight="1" thickBot="1" x14ac:dyDescent="0.25">
      <c r="B32" s="148" t="s">
        <v>8</v>
      </c>
      <c r="C32" s="148" t="s">
        <v>9</v>
      </c>
      <c r="D32" s="148" t="s">
        <v>10</v>
      </c>
      <c r="E32" s="148" t="s">
        <v>58</v>
      </c>
      <c r="F32" s="148" t="s">
        <v>59</v>
      </c>
      <c r="G32" s="148" t="s">
        <v>13</v>
      </c>
      <c r="H32" s="148" t="s">
        <v>14</v>
      </c>
    </row>
    <row r="33" spans="2:10" x14ac:dyDescent="0.2">
      <c r="B33" s="145" t="s">
        <v>60</v>
      </c>
      <c r="C33" s="145" t="s">
        <v>61</v>
      </c>
      <c r="D33" s="145">
        <v>242</v>
      </c>
      <c r="E33" s="145">
        <v>3.1783680000000039E-3</v>
      </c>
      <c r="F33" s="145">
        <v>0</v>
      </c>
      <c r="G33" s="145">
        <v>7.999999999999984</v>
      </c>
      <c r="H33" s="145">
        <v>212.00000000000011</v>
      </c>
    </row>
    <row r="34" spans="2:10" x14ac:dyDescent="0.2">
      <c r="B34" s="145" t="s">
        <v>62</v>
      </c>
      <c r="C34" s="145" t="s">
        <v>63</v>
      </c>
      <c r="D34" s="145">
        <v>220</v>
      </c>
      <c r="E34" s="145">
        <v>2.0082480000000102E-3</v>
      </c>
      <c r="F34" s="145">
        <v>0</v>
      </c>
      <c r="G34" s="145">
        <v>354.66666666666652</v>
      </c>
      <c r="H34" s="145">
        <v>212</v>
      </c>
    </row>
    <row r="35" spans="2:10" x14ac:dyDescent="0.2">
      <c r="B35" s="145" t="s">
        <v>64</v>
      </c>
      <c r="C35" s="145" t="s">
        <v>65</v>
      </c>
      <c r="D35" s="145">
        <v>103</v>
      </c>
      <c r="E35" s="145">
        <v>3.1783680000000139E-3</v>
      </c>
      <c r="F35" s="145">
        <v>103</v>
      </c>
      <c r="G35" s="145">
        <v>7.9999999999999716</v>
      </c>
      <c r="H35" s="145">
        <v>103</v>
      </c>
      <c r="I35">
        <f t="shared" ref="I35:I41" si="0">G35*E35</f>
        <v>2.5426944000000021E-2</v>
      </c>
      <c r="J35">
        <f t="shared" ref="J35:J41" si="1">-H35*E35</f>
        <v>-0.32737190400000143</v>
      </c>
    </row>
    <row r="36" spans="2:10" x14ac:dyDescent="0.2">
      <c r="B36" s="145" t="s">
        <v>66</v>
      </c>
      <c r="C36" s="145" t="s">
        <v>67</v>
      </c>
      <c r="D36" s="145">
        <v>74</v>
      </c>
      <c r="E36" s="145">
        <v>4.3535510857142849E-2</v>
      </c>
      <c r="F36" s="145">
        <v>74</v>
      </c>
      <c r="G36" s="145">
        <v>7.9999999999999716</v>
      </c>
      <c r="H36" s="145">
        <v>74</v>
      </c>
      <c r="I36">
        <f t="shared" si="0"/>
        <v>0.34828408685714157</v>
      </c>
      <c r="J36">
        <f t="shared" si="1"/>
        <v>-3.221627803428571</v>
      </c>
    </row>
    <row r="37" spans="2:10" x14ac:dyDescent="0.2">
      <c r="B37" s="145" t="s">
        <v>68</v>
      </c>
      <c r="C37" s="145" t="s">
        <v>69</v>
      </c>
      <c r="D37" s="145">
        <v>49.999999999999957</v>
      </c>
      <c r="E37" s="145">
        <v>4.1035510857142937E-2</v>
      </c>
      <c r="F37" s="145">
        <v>50</v>
      </c>
      <c r="G37" s="145">
        <v>7.9999999999999698</v>
      </c>
      <c r="H37" s="145">
        <v>4.999999999999952</v>
      </c>
      <c r="I37">
        <f t="shared" si="0"/>
        <v>0.32828408685714228</v>
      </c>
      <c r="J37">
        <f t="shared" si="1"/>
        <v>-0.20517755428571272</v>
      </c>
    </row>
    <row r="38" spans="2:10" x14ac:dyDescent="0.2">
      <c r="B38" s="145" t="s">
        <v>70</v>
      </c>
      <c r="C38" s="145" t="s">
        <v>71</v>
      </c>
      <c r="D38" s="145">
        <v>60</v>
      </c>
      <c r="E38" s="145">
        <v>2.053551085714286E-2</v>
      </c>
      <c r="F38" s="145">
        <v>60</v>
      </c>
      <c r="G38" s="145">
        <v>7.999999999999984</v>
      </c>
      <c r="H38" s="145">
        <v>60.000000000000007</v>
      </c>
      <c r="I38">
        <f t="shared" si="0"/>
        <v>0.16428408685714255</v>
      </c>
      <c r="J38">
        <f t="shared" si="1"/>
        <v>-1.2321306514285717</v>
      </c>
    </row>
    <row r="39" spans="2:10" x14ac:dyDescent="0.2">
      <c r="B39" s="145" t="s">
        <v>72</v>
      </c>
      <c r="C39" s="145" t="s">
        <v>73</v>
      </c>
      <c r="D39" s="145">
        <v>102</v>
      </c>
      <c r="E39" s="145">
        <v>2.4892653714285808E-2</v>
      </c>
      <c r="F39" s="145">
        <v>102</v>
      </c>
      <c r="G39" s="145">
        <v>7.999999999999984</v>
      </c>
      <c r="H39" s="145">
        <v>4.9999999999999538</v>
      </c>
      <c r="I39">
        <f t="shared" si="0"/>
        <v>0.19914122971428608</v>
      </c>
      <c r="J39">
        <f t="shared" si="1"/>
        <v>-0.12446326857142789</v>
      </c>
    </row>
    <row r="40" spans="2:10" x14ac:dyDescent="0.2">
      <c r="B40" s="145" t="s">
        <v>74</v>
      </c>
      <c r="C40" s="145" t="s">
        <v>75</v>
      </c>
      <c r="D40" s="145">
        <v>60</v>
      </c>
      <c r="E40" s="145">
        <v>3.1106939428571539E-2</v>
      </c>
      <c r="F40" s="145">
        <v>60</v>
      </c>
      <c r="G40" s="145">
        <v>7.9999999999999707</v>
      </c>
      <c r="H40" s="145">
        <v>4.9999999999999529</v>
      </c>
      <c r="I40">
        <f t="shared" si="0"/>
        <v>0.2488555154285714</v>
      </c>
      <c r="J40">
        <f t="shared" si="1"/>
        <v>-0.15553469714285623</v>
      </c>
    </row>
    <row r="41" spans="2:10" x14ac:dyDescent="0.2">
      <c r="B41" s="145" t="s">
        <v>76</v>
      </c>
      <c r="C41" s="145" t="s">
        <v>77</v>
      </c>
      <c r="D41" s="145">
        <v>13</v>
      </c>
      <c r="E41" s="145">
        <v>4.5035510857142948E-2</v>
      </c>
      <c r="F41" s="145">
        <v>13</v>
      </c>
      <c r="G41" s="145">
        <v>7.9999999999999831</v>
      </c>
      <c r="H41" s="145">
        <v>4.9999999999999529</v>
      </c>
      <c r="I41">
        <f t="shared" si="0"/>
        <v>0.3602840868571428</v>
      </c>
      <c r="J41">
        <f t="shared" si="1"/>
        <v>-0.22517755428571262</v>
      </c>
    </row>
    <row r="42" spans="2:10" x14ac:dyDescent="0.2">
      <c r="B42" s="145" t="s">
        <v>78</v>
      </c>
      <c r="C42" s="145" t="s">
        <v>79</v>
      </c>
      <c r="D42" s="145">
        <v>30</v>
      </c>
      <c r="E42" s="145">
        <v>-4.9000000000021249E-5</v>
      </c>
      <c r="F42" s="145">
        <v>30</v>
      </c>
      <c r="G42" s="145">
        <v>25.44</v>
      </c>
      <c r="H42" s="145">
        <v>0.9599999999999973</v>
      </c>
    </row>
    <row r="43" spans="2:10" x14ac:dyDescent="0.2">
      <c r="B43" s="145" t="s">
        <v>80</v>
      </c>
      <c r="C43" s="145" t="s">
        <v>81</v>
      </c>
      <c r="D43" s="145">
        <v>25.44</v>
      </c>
      <c r="E43" s="145">
        <v>0</v>
      </c>
      <c r="F43" s="145">
        <v>68</v>
      </c>
      <c r="G43" s="145">
        <v>1E+30</v>
      </c>
      <c r="H43" s="145">
        <v>42.56</v>
      </c>
    </row>
    <row r="44" spans="2:10" x14ac:dyDescent="0.2">
      <c r="B44" s="145" t="s">
        <v>82</v>
      </c>
      <c r="C44" s="145" t="s">
        <v>83</v>
      </c>
      <c r="D44" s="145">
        <v>0</v>
      </c>
      <c r="E44" s="145">
        <v>0</v>
      </c>
      <c r="F44" s="145">
        <v>20</v>
      </c>
      <c r="G44" s="145">
        <v>1E+30</v>
      </c>
      <c r="H44" s="145">
        <v>20</v>
      </c>
    </row>
    <row r="45" spans="2:10" x14ac:dyDescent="0.2">
      <c r="B45" s="145" t="s">
        <v>84</v>
      </c>
      <c r="C45" s="145" t="s">
        <v>85</v>
      </c>
      <c r="D45" s="145">
        <v>241.99999999999989</v>
      </c>
      <c r="E45" s="145">
        <v>0</v>
      </c>
      <c r="F45" s="145">
        <v>250</v>
      </c>
      <c r="G45" s="145">
        <v>1E+30</v>
      </c>
      <c r="H45" s="145">
        <v>7.9999999999999876</v>
      </c>
    </row>
    <row r="46" spans="2:10" ht="14.1" customHeight="1" thickBot="1" x14ac:dyDescent="0.25">
      <c r="B46" s="146" t="s">
        <v>86</v>
      </c>
      <c r="C46" s="146" t="s">
        <v>87</v>
      </c>
      <c r="D46" s="146">
        <v>220</v>
      </c>
      <c r="E46" s="146">
        <v>-9.8691428571502879E-5</v>
      </c>
      <c r="F46" s="146">
        <v>220</v>
      </c>
      <c r="G46" s="146">
        <v>4.999999999999952</v>
      </c>
      <c r="H46" s="146">
        <v>7.9999999999999778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49B2-5F00-4B29-8B4B-8D4330EE2E98}">
  <dimension ref="A1:H46"/>
  <sheetViews>
    <sheetView showGridLines="0" zoomScale="90" zoomScaleNormal="90" workbookViewId="0"/>
  </sheetViews>
  <sheetFormatPr defaultRowHeight="12.75" x14ac:dyDescent="0.2"/>
  <cols>
    <col min="1" max="1" width="2.28515625" customWidth="1"/>
    <col min="2" max="2" width="6.42578125" bestFit="1" customWidth="1"/>
    <col min="3" max="3" width="19.140625" bestFit="1" customWidth="1"/>
    <col min="4" max="4" width="7" bestFit="1" customWidth="1"/>
    <col min="5" max="5" width="12.85546875" bestFit="1" customWidth="1"/>
    <col min="6" max="6" width="12" bestFit="1" customWidth="1"/>
    <col min="7" max="8" width="12.28515625" bestFit="1" customWidth="1"/>
  </cols>
  <sheetData>
    <row r="1" spans="1:8" x14ac:dyDescent="0.2">
      <c r="A1" s="144" t="s">
        <v>179</v>
      </c>
    </row>
    <row r="2" spans="1:8" x14ac:dyDescent="0.2">
      <c r="A2" s="144" t="s">
        <v>180</v>
      </c>
    </row>
    <row r="3" spans="1:8" x14ac:dyDescent="0.2">
      <c r="A3" s="144" t="s">
        <v>181</v>
      </c>
    </row>
    <row r="6" spans="1:8" ht="13.5" thickBot="1" x14ac:dyDescent="0.25">
      <c r="A6" t="s">
        <v>3</v>
      </c>
    </row>
    <row r="7" spans="1:8" x14ac:dyDescent="0.2">
      <c r="B7" s="225"/>
      <c r="C7" s="225"/>
      <c r="D7" s="225" t="s">
        <v>4</v>
      </c>
      <c r="E7" s="225" t="s">
        <v>5</v>
      </c>
      <c r="F7" s="225" t="s">
        <v>6</v>
      </c>
      <c r="G7" s="225" t="s">
        <v>7</v>
      </c>
      <c r="H7" s="225" t="s">
        <v>7</v>
      </c>
    </row>
    <row r="8" spans="1:8" ht="13.5" thickBot="1" x14ac:dyDescent="0.25">
      <c r="B8" s="226" t="s">
        <v>8</v>
      </c>
      <c r="C8" s="226" t="s">
        <v>9</v>
      </c>
      <c r="D8" s="226" t="s">
        <v>10</v>
      </c>
      <c r="E8" s="226" t="s">
        <v>11</v>
      </c>
      <c r="F8" s="226" t="s">
        <v>12</v>
      </c>
      <c r="G8" s="226" t="s">
        <v>13</v>
      </c>
      <c r="H8" s="226" t="s">
        <v>14</v>
      </c>
    </row>
    <row r="9" spans="1:8" x14ac:dyDescent="0.2">
      <c r="B9" s="223" t="s">
        <v>15</v>
      </c>
      <c r="C9" s="223" t="s">
        <v>16</v>
      </c>
      <c r="D9" s="223">
        <v>29.039999999999992</v>
      </c>
      <c r="E9" s="223">
        <v>0</v>
      </c>
      <c r="F9" s="223">
        <v>2.64374E-2</v>
      </c>
      <c r="G9" s="223">
        <v>2.6438000000001522E-3</v>
      </c>
      <c r="H9" s="223">
        <v>8.2242857142920316E-4</v>
      </c>
    </row>
    <row r="10" spans="1:8" x14ac:dyDescent="0.2">
      <c r="B10" s="223" t="s">
        <v>17</v>
      </c>
      <c r="C10" s="223" t="s">
        <v>18</v>
      </c>
      <c r="D10" s="223">
        <v>0.96000000000000441</v>
      </c>
      <c r="E10" s="223">
        <v>0</v>
      </c>
      <c r="F10" s="223">
        <v>1.6686400000000004E-2</v>
      </c>
      <c r="G10" s="223">
        <v>4.8999999999965738E-5</v>
      </c>
      <c r="H10" s="223">
        <v>2.6438000000001522E-3</v>
      </c>
    </row>
    <row r="11" spans="1:8" x14ac:dyDescent="0.2">
      <c r="B11" s="223" t="s">
        <v>19</v>
      </c>
      <c r="C11" s="223" t="s">
        <v>20</v>
      </c>
      <c r="D11" s="223">
        <v>0</v>
      </c>
      <c r="E11" s="223">
        <v>1.0339000000000041E-2</v>
      </c>
      <c r="F11" s="223">
        <v>3.6825399999999994E-2</v>
      </c>
      <c r="G11" s="223">
        <v>1E+30</v>
      </c>
      <c r="H11" s="223">
        <v>1.0339000000000041E-2</v>
      </c>
    </row>
    <row r="12" spans="1:8" x14ac:dyDescent="0.2">
      <c r="B12" s="223" t="s">
        <v>21</v>
      </c>
      <c r="C12" s="223" t="s">
        <v>22</v>
      </c>
      <c r="D12" s="223">
        <v>25.439999999999994</v>
      </c>
      <c r="E12" s="223">
        <v>0</v>
      </c>
      <c r="F12" s="223">
        <v>1.6735399999999998E-2</v>
      </c>
      <c r="G12" s="223">
        <v>2.6438000000001522E-3</v>
      </c>
      <c r="H12" s="223">
        <v>4.8999999999965738E-5</v>
      </c>
    </row>
    <row r="13" spans="1:8" x14ac:dyDescent="0.2">
      <c r="B13" s="223" t="s">
        <v>23</v>
      </c>
      <c r="C13" s="223" t="s">
        <v>24</v>
      </c>
      <c r="D13" s="223">
        <v>0</v>
      </c>
      <c r="E13" s="223">
        <v>2.8841454545456193E-3</v>
      </c>
      <c r="F13" s="223">
        <v>3.1778399999999998E-2</v>
      </c>
      <c r="G13" s="223">
        <v>1E+30</v>
      </c>
      <c r="H13" s="223">
        <v>2.8841454545456193E-3</v>
      </c>
    </row>
    <row r="14" spans="1:8" x14ac:dyDescent="0.2">
      <c r="B14" s="223" t="s">
        <v>25</v>
      </c>
      <c r="C14" s="223" t="s">
        <v>26</v>
      </c>
      <c r="D14" s="223">
        <v>0</v>
      </c>
      <c r="E14" s="223">
        <v>1.4256600000000112E-2</v>
      </c>
      <c r="F14" s="223">
        <v>3.2513399999999998E-2</v>
      </c>
      <c r="G14" s="223">
        <v>1E+30</v>
      </c>
      <c r="H14" s="223">
        <v>1.4256600000000112E-2</v>
      </c>
    </row>
    <row r="15" spans="1:8" x14ac:dyDescent="0.2">
      <c r="B15" s="223" t="s">
        <v>27</v>
      </c>
      <c r="C15" s="223" t="s">
        <v>28</v>
      </c>
      <c r="D15" s="223">
        <v>103</v>
      </c>
      <c r="E15" s="223">
        <v>0</v>
      </c>
      <c r="F15" s="223">
        <v>0</v>
      </c>
      <c r="G15" s="223">
        <v>3.1285714285714375E-2</v>
      </c>
      <c r="H15" s="223">
        <v>1E+30</v>
      </c>
    </row>
    <row r="16" spans="1:8" x14ac:dyDescent="0.2">
      <c r="B16" s="223" t="s">
        <v>29</v>
      </c>
      <c r="C16" s="223" t="s">
        <v>30</v>
      </c>
      <c r="D16" s="223">
        <v>74</v>
      </c>
      <c r="E16" s="223">
        <v>0</v>
      </c>
      <c r="F16" s="223">
        <v>4.0357142857142869E-2</v>
      </c>
      <c r="G16" s="223">
        <v>1.5612511283791264E-17</v>
      </c>
      <c r="H16" s="223">
        <v>1E+30</v>
      </c>
    </row>
    <row r="17" spans="1:8" x14ac:dyDescent="0.2">
      <c r="B17" s="223" t="s">
        <v>31</v>
      </c>
      <c r="C17" s="223" t="s">
        <v>32</v>
      </c>
      <c r="D17" s="223">
        <v>0</v>
      </c>
      <c r="E17" s="223">
        <v>1.3857142857142814E-2</v>
      </c>
      <c r="F17" s="223">
        <v>5.171428571428574E-2</v>
      </c>
      <c r="G17" s="223">
        <v>1E+30</v>
      </c>
      <c r="H17" s="223">
        <v>1.3857142857142814E-2</v>
      </c>
    </row>
    <row r="18" spans="1:8" x14ac:dyDescent="0.2">
      <c r="B18" s="223" t="s">
        <v>33</v>
      </c>
      <c r="C18" s="223" t="s">
        <v>34</v>
      </c>
      <c r="D18" s="223">
        <v>60</v>
      </c>
      <c r="E18" s="223">
        <v>0</v>
      </c>
      <c r="F18" s="223">
        <v>1.7357142857142849E-2</v>
      </c>
      <c r="G18" s="223">
        <v>8.8571428571430078E-3</v>
      </c>
      <c r="H18" s="223">
        <v>1E+30</v>
      </c>
    </row>
    <row r="19" spans="1:8" x14ac:dyDescent="0.2">
      <c r="B19" s="223" t="s">
        <v>35</v>
      </c>
      <c r="C19" s="223" t="s">
        <v>36</v>
      </c>
      <c r="D19" s="223">
        <v>0</v>
      </c>
      <c r="E19" s="223">
        <v>3.342857142857137E-2</v>
      </c>
      <c r="F19" s="223">
        <v>5.514285714285716E-2</v>
      </c>
      <c r="G19" s="223">
        <v>1E+30</v>
      </c>
      <c r="H19" s="223">
        <v>3.342857142857137E-2</v>
      </c>
    </row>
    <row r="20" spans="1:8" x14ac:dyDescent="0.2">
      <c r="B20" s="223" t="s">
        <v>37</v>
      </c>
      <c r="C20" s="223" t="s">
        <v>38</v>
      </c>
      <c r="D20" s="223">
        <v>0</v>
      </c>
      <c r="E20" s="223">
        <v>2.5071428571428397E-2</v>
      </c>
      <c r="F20" s="223">
        <v>5.2999999999999936E-2</v>
      </c>
      <c r="G20" s="223">
        <v>1E+30</v>
      </c>
      <c r="H20" s="223">
        <v>2.5071428571428397E-2</v>
      </c>
    </row>
    <row r="21" spans="1:8" x14ac:dyDescent="0.2">
      <c r="B21" s="223" t="s">
        <v>39</v>
      </c>
      <c r="C21" s="223" t="s">
        <v>40</v>
      </c>
      <c r="D21" s="223">
        <v>4.9999999999999885</v>
      </c>
      <c r="E21" s="223">
        <v>0</v>
      </c>
      <c r="F21" s="223">
        <v>4.1857142857142926E-2</v>
      </c>
      <c r="G21" s="223">
        <v>1.3857142857142814E-2</v>
      </c>
      <c r="H21" s="223">
        <v>1.5612511283791261E-17</v>
      </c>
    </row>
    <row r="22" spans="1:8" x14ac:dyDescent="0.2">
      <c r="B22" s="223" t="s">
        <v>41</v>
      </c>
      <c r="C22" s="223" t="s">
        <v>42</v>
      </c>
      <c r="D22" s="223">
        <v>0</v>
      </c>
      <c r="E22" s="223">
        <v>3.1285714285714375E-2</v>
      </c>
      <c r="F22" s="223">
        <v>3.2357142857142862E-2</v>
      </c>
      <c r="G22" s="223">
        <v>1E+30</v>
      </c>
      <c r="H22" s="223">
        <v>3.1285714285714375E-2</v>
      </c>
    </row>
    <row r="23" spans="1:8" x14ac:dyDescent="0.2">
      <c r="B23" s="223" t="s">
        <v>43</v>
      </c>
      <c r="C23" s="223" t="s">
        <v>44</v>
      </c>
      <c r="D23" s="223">
        <v>0</v>
      </c>
      <c r="E23" s="223">
        <v>1.5612511283791264E-17</v>
      </c>
      <c r="F23" s="223">
        <v>4.142857142857137E-2</v>
      </c>
      <c r="G23" s="223">
        <v>1E+30</v>
      </c>
      <c r="H23" s="223">
        <v>1.5612511283791264E-17</v>
      </c>
    </row>
    <row r="24" spans="1:8" x14ac:dyDescent="0.2">
      <c r="B24" s="223" t="s">
        <v>45</v>
      </c>
      <c r="C24" s="223" t="s">
        <v>46</v>
      </c>
      <c r="D24" s="223">
        <v>49.999999999999964</v>
      </c>
      <c r="E24" s="223">
        <v>0</v>
      </c>
      <c r="F24" s="223">
        <v>3.8928571428571423E-2</v>
      </c>
      <c r="G24" s="223">
        <v>1.3857142857142818E-2</v>
      </c>
      <c r="H24" s="223">
        <v>1623629549296.7458</v>
      </c>
    </row>
    <row r="25" spans="1:8" x14ac:dyDescent="0.2">
      <c r="B25" s="223" t="s">
        <v>47</v>
      </c>
      <c r="C25" s="223" t="s">
        <v>48</v>
      </c>
      <c r="D25" s="223">
        <v>0</v>
      </c>
      <c r="E25" s="223">
        <v>8.8571428571430078E-3</v>
      </c>
      <c r="F25" s="223">
        <v>2.7285714285714358E-2</v>
      </c>
      <c r="G25" s="223">
        <v>1E+30</v>
      </c>
      <c r="H25" s="223">
        <v>8.8571428571430078E-3</v>
      </c>
    </row>
    <row r="26" spans="1:8" x14ac:dyDescent="0.2">
      <c r="B26" s="223" t="s">
        <v>49</v>
      </c>
      <c r="C26" s="223" t="s">
        <v>50</v>
      </c>
      <c r="D26" s="223">
        <v>102</v>
      </c>
      <c r="E26" s="223">
        <v>0</v>
      </c>
      <c r="F26" s="223">
        <v>2.2785714285714298E-2</v>
      </c>
      <c r="G26" s="223">
        <v>3.342857142857137E-2</v>
      </c>
      <c r="H26" s="223">
        <v>1E+30</v>
      </c>
    </row>
    <row r="27" spans="1:8" x14ac:dyDescent="0.2">
      <c r="B27" s="223" t="s">
        <v>51</v>
      </c>
      <c r="C27" s="223" t="s">
        <v>52</v>
      </c>
      <c r="D27" s="223">
        <v>60</v>
      </c>
      <c r="E27" s="223">
        <v>0</v>
      </c>
      <c r="F27" s="223">
        <v>2.9000000000000026E-2</v>
      </c>
      <c r="G27" s="223">
        <v>2.5071428571428397E-2</v>
      </c>
      <c r="H27" s="223">
        <v>1E+30</v>
      </c>
    </row>
    <row r="28" spans="1:8" ht="13.5" thickBot="1" x14ac:dyDescent="0.25">
      <c r="B28" s="224" t="s">
        <v>53</v>
      </c>
      <c r="C28" s="224" t="s">
        <v>54</v>
      </c>
      <c r="D28" s="224">
        <v>8.0000000000000124</v>
      </c>
      <c r="E28" s="224">
        <v>0</v>
      </c>
      <c r="F28" s="224">
        <v>4.2928571428571427E-2</v>
      </c>
      <c r="G28" s="224">
        <v>1.5612511283791261E-17</v>
      </c>
      <c r="H28" s="224">
        <v>1.3857142857142814E-2</v>
      </c>
    </row>
    <row r="30" spans="1:8" ht="13.5" thickBot="1" x14ac:dyDescent="0.25">
      <c r="A30" t="s">
        <v>55</v>
      </c>
    </row>
    <row r="31" spans="1:8" x14ac:dyDescent="0.2">
      <c r="B31" s="225"/>
      <c r="C31" s="225"/>
      <c r="D31" s="225" t="s">
        <v>4</v>
      </c>
      <c r="E31" s="225" t="s">
        <v>56</v>
      </c>
      <c r="F31" s="225" t="s">
        <v>57</v>
      </c>
      <c r="G31" s="225" t="s">
        <v>7</v>
      </c>
      <c r="H31" s="225" t="s">
        <v>7</v>
      </c>
    </row>
    <row r="32" spans="1:8" ht="13.5" thickBot="1" x14ac:dyDescent="0.25">
      <c r="B32" s="226" t="s">
        <v>8</v>
      </c>
      <c r="C32" s="226" t="s">
        <v>9</v>
      </c>
      <c r="D32" s="226" t="s">
        <v>10</v>
      </c>
      <c r="E32" s="226" t="s">
        <v>58</v>
      </c>
      <c r="F32" s="226" t="s">
        <v>59</v>
      </c>
      <c r="G32" s="226" t="s">
        <v>13</v>
      </c>
      <c r="H32" s="226" t="s">
        <v>14</v>
      </c>
    </row>
    <row r="33" spans="2:8" x14ac:dyDescent="0.2">
      <c r="B33" s="223" t="s">
        <v>60</v>
      </c>
      <c r="C33" s="223" t="s">
        <v>61</v>
      </c>
      <c r="D33" s="223">
        <v>241.99999999999994</v>
      </c>
      <c r="E33" s="223">
        <v>3.1783679999999813E-3</v>
      </c>
      <c r="F33" s="223">
        <v>0</v>
      </c>
      <c r="G33" s="223">
        <v>8.0000000000000462</v>
      </c>
      <c r="H33" s="223">
        <v>211.99999999999997</v>
      </c>
    </row>
    <row r="34" spans="2:8" x14ac:dyDescent="0.2">
      <c r="B34" s="223" t="s">
        <v>62</v>
      </c>
      <c r="C34" s="223" t="s">
        <v>63</v>
      </c>
      <c r="D34" s="223">
        <v>220</v>
      </c>
      <c r="E34" s="223">
        <v>2.0082479999999981E-3</v>
      </c>
      <c r="F34" s="223">
        <v>0</v>
      </c>
      <c r="G34" s="223">
        <v>354.6666666666668</v>
      </c>
      <c r="H34" s="223">
        <v>211.99999999999994</v>
      </c>
    </row>
    <row r="35" spans="2:8" x14ac:dyDescent="0.2">
      <c r="B35" s="223" t="s">
        <v>64</v>
      </c>
      <c r="C35" s="223" t="s">
        <v>65</v>
      </c>
      <c r="D35" s="223">
        <v>103</v>
      </c>
      <c r="E35" s="223">
        <v>3.1783679999999948E-3</v>
      </c>
      <c r="F35" s="223">
        <v>103</v>
      </c>
      <c r="G35" s="223">
        <v>8.0000000000000195</v>
      </c>
      <c r="H35" s="223">
        <v>103</v>
      </c>
    </row>
    <row r="36" spans="2:8" x14ac:dyDescent="0.2">
      <c r="B36" s="223" t="s">
        <v>66</v>
      </c>
      <c r="C36" s="223" t="s">
        <v>67</v>
      </c>
      <c r="D36" s="223">
        <v>74</v>
      </c>
      <c r="E36" s="223">
        <v>4.3535510857142863E-2</v>
      </c>
      <c r="F36" s="223">
        <v>74</v>
      </c>
      <c r="G36" s="223">
        <v>8.0000000000000195</v>
      </c>
      <c r="H36" s="223">
        <v>74</v>
      </c>
    </row>
    <row r="37" spans="2:8" x14ac:dyDescent="0.2">
      <c r="B37" s="223" t="s">
        <v>68</v>
      </c>
      <c r="C37" s="223" t="s">
        <v>69</v>
      </c>
      <c r="D37" s="223">
        <v>49.999999999999964</v>
      </c>
      <c r="E37" s="223">
        <v>4.103551085714293E-2</v>
      </c>
      <c r="F37" s="223">
        <v>50</v>
      </c>
      <c r="G37" s="223">
        <v>8.0000000000000071</v>
      </c>
      <c r="H37" s="223">
        <v>4.9999999999999849</v>
      </c>
    </row>
    <row r="38" spans="2:8" x14ac:dyDescent="0.2">
      <c r="B38" s="223" t="s">
        <v>70</v>
      </c>
      <c r="C38" s="223" t="s">
        <v>71</v>
      </c>
      <c r="D38" s="223">
        <v>60</v>
      </c>
      <c r="E38" s="223">
        <v>2.0535510857142843E-2</v>
      </c>
      <c r="F38" s="223">
        <v>60</v>
      </c>
      <c r="G38" s="223">
        <v>8.0000000000000195</v>
      </c>
      <c r="H38" s="223">
        <v>60</v>
      </c>
    </row>
    <row r="39" spans="2:8" x14ac:dyDescent="0.2">
      <c r="B39" s="223" t="s">
        <v>72</v>
      </c>
      <c r="C39" s="223" t="s">
        <v>73</v>
      </c>
      <c r="D39" s="223">
        <v>102</v>
      </c>
      <c r="E39" s="223">
        <v>2.4892653714285791E-2</v>
      </c>
      <c r="F39" s="223">
        <v>102</v>
      </c>
      <c r="G39" s="223">
        <v>8.0000000000000124</v>
      </c>
      <c r="H39" s="223">
        <v>4.9999999999999885</v>
      </c>
    </row>
    <row r="40" spans="2:8" x14ac:dyDescent="0.2">
      <c r="B40" s="223" t="s">
        <v>74</v>
      </c>
      <c r="C40" s="223" t="s">
        <v>75</v>
      </c>
      <c r="D40" s="223">
        <v>60</v>
      </c>
      <c r="E40" s="223">
        <v>3.1106939428571519E-2</v>
      </c>
      <c r="F40" s="223">
        <v>60</v>
      </c>
      <c r="G40" s="223">
        <v>8.0000000000000107</v>
      </c>
      <c r="H40" s="223">
        <v>4.9999999999999876</v>
      </c>
    </row>
    <row r="41" spans="2:8" x14ac:dyDescent="0.2">
      <c r="B41" s="223" t="s">
        <v>76</v>
      </c>
      <c r="C41" s="223" t="s">
        <v>77</v>
      </c>
      <c r="D41" s="223">
        <v>13</v>
      </c>
      <c r="E41" s="223">
        <v>4.5035510857142927E-2</v>
      </c>
      <c r="F41" s="223">
        <v>13</v>
      </c>
      <c r="G41" s="223">
        <v>8.0000000000000178</v>
      </c>
      <c r="H41" s="223">
        <v>4.9999999999999885</v>
      </c>
    </row>
    <row r="42" spans="2:8" x14ac:dyDescent="0.2">
      <c r="B42" s="223" t="s">
        <v>78</v>
      </c>
      <c r="C42" s="223" t="s">
        <v>79</v>
      </c>
      <c r="D42" s="223">
        <v>29.999999999999996</v>
      </c>
      <c r="E42" s="223">
        <v>-4.8999999999965738E-5</v>
      </c>
      <c r="F42" s="223">
        <v>30</v>
      </c>
      <c r="G42" s="223">
        <v>25.439999999999994</v>
      </c>
      <c r="H42" s="223">
        <v>0.96000000000000441</v>
      </c>
    </row>
    <row r="43" spans="2:8" x14ac:dyDescent="0.2">
      <c r="B43" s="223" t="s">
        <v>80</v>
      </c>
      <c r="C43" s="223" t="s">
        <v>81</v>
      </c>
      <c r="D43" s="223">
        <v>25.439999999999994</v>
      </c>
      <c r="E43" s="223">
        <v>0</v>
      </c>
      <c r="F43" s="223">
        <v>68</v>
      </c>
      <c r="G43" s="223">
        <v>1E+30</v>
      </c>
      <c r="H43" s="223">
        <v>42.560000000000016</v>
      </c>
    </row>
    <row r="44" spans="2:8" x14ac:dyDescent="0.2">
      <c r="B44" s="223" t="s">
        <v>82</v>
      </c>
      <c r="C44" s="223" t="s">
        <v>83</v>
      </c>
      <c r="D44" s="223">
        <v>0</v>
      </c>
      <c r="E44" s="223">
        <v>0</v>
      </c>
      <c r="F44" s="223">
        <v>20</v>
      </c>
      <c r="G44" s="223">
        <v>1E+30</v>
      </c>
      <c r="H44" s="223">
        <v>20</v>
      </c>
    </row>
    <row r="45" spans="2:8" x14ac:dyDescent="0.2">
      <c r="B45" s="223" t="s">
        <v>84</v>
      </c>
      <c r="C45" s="223" t="s">
        <v>85</v>
      </c>
      <c r="D45" s="223">
        <v>242</v>
      </c>
      <c r="E45" s="223">
        <v>0</v>
      </c>
      <c r="F45" s="223">
        <v>250</v>
      </c>
      <c r="G45" s="223">
        <v>1E+30</v>
      </c>
      <c r="H45" s="223">
        <v>8.0000000000000213</v>
      </c>
    </row>
    <row r="46" spans="2:8" ht="13.5" thickBot="1" x14ac:dyDescent="0.25">
      <c r="B46" s="224" t="s">
        <v>86</v>
      </c>
      <c r="C46" s="224" t="s">
        <v>87</v>
      </c>
      <c r="D46" s="224">
        <v>219.99999999999997</v>
      </c>
      <c r="E46" s="224">
        <v>-9.8691428571504383E-5</v>
      </c>
      <c r="F46" s="224">
        <v>220</v>
      </c>
      <c r="G46" s="224">
        <v>4.9999999999999876</v>
      </c>
      <c r="H46" s="224">
        <v>8.0000000000000107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S57"/>
  <sheetViews>
    <sheetView zoomScaleNormal="100" workbookViewId="0">
      <selection activeCell="H44" sqref="H44"/>
    </sheetView>
  </sheetViews>
  <sheetFormatPr defaultColWidth="9" defaultRowHeight="12.75" x14ac:dyDescent="0.2"/>
  <cols>
    <col min="2" max="2" width="11.5703125" customWidth="1"/>
    <col min="3" max="3" width="11" bestFit="1" customWidth="1"/>
    <col min="11" max="11" width="17.140625" bestFit="1" customWidth="1"/>
    <col min="12" max="12" width="17.140625" customWidth="1"/>
    <col min="13" max="13" width="13.140625" customWidth="1"/>
    <col min="14" max="14" width="10.5703125" customWidth="1"/>
  </cols>
  <sheetData>
    <row r="1" spans="2:5" x14ac:dyDescent="0.2">
      <c r="B1" t="s">
        <v>88</v>
      </c>
    </row>
    <row r="3" spans="2:5" x14ac:dyDescent="0.2">
      <c r="B3" s="45" t="s">
        <v>89</v>
      </c>
    </row>
    <row r="4" spans="2:5" ht="14.1" customHeight="1" thickBot="1" x14ac:dyDescent="0.25"/>
    <row r="5" spans="2:5" ht="14.1" customHeight="1" thickTop="1" x14ac:dyDescent="0.2">
      <c r="B5" s="17" t="s">
        <v>90</v>
      </c>
      <c r="C5" s="18"/>
      <c r="D5" s="18"/>
      <c r="E5" s="32"/>
    </row>
    <row r="6" spans="2:5" x14ac:dyDescent="0.2">
      <c r="B6" s="20"/>
      <c r="C6" s="15" t="s">
        <v>91</v>
      </c>
      <c r="E6" s="33"/>
    </row>
    <row r="7" spans="2:5" x14ac:dyDescent="0.2">
      <c r="B7" s="91" t="s">
        <v>92</v>
      </c>
      <c r="C7" s="103" t="s">
        <v>93</v>
      </c>
      <c r="D7" s="103" t="s">
        <v>94</v>
      </c>
      <c r="E7" s="102"/>
    </row>
    <row r="8" spans="2:5" x14ac:dyDescent="0.2">
      <c r="B8" s="60" t="s">
        <v>95</v>
      </c>
      <c r="C8" s="11">
        <v>103</v>
      </c>
      <c r="E8" s="101"/>
    </row>
    <row r="9" spans="2:5" x14ac:dyDescent="0.2">
      <c r="B9" s="60" t="s">
        <v>96</v>
      </c>
      <c r="C9" s="11">
        <v>74</v>
      </c>
      <c r="E9" s="101"/>
    </row>
    <row r="10" spans="2:5" x14ac:dyDescent="0.2">
      <c r="B10" s="60" t="s">
        <v>97</v>
      </c>
      <c r="C10" s="11">
        <v>50</v>
      </c>
      <c r="E10" s="101"/>
    </row>
    <row r="11" spans="2:5" x14ac:dyDescent="0.2">
      <c r="B11" s="60" t="s">
        <v>98</v>
      </c>
      <c r="C11" s="11">
        <v>60</v>
      </c>
      <c r="E11" s="101"/>
    </row>
    <row r="12" spans="2:5" x14ac:dyDescent="0.2">
      <c r="B12" s="60" t="s">
        <v>99</v>
      </c>
      <c r="C12" s="11">
        <v>102</v>
      </c>
      <c r="E12" s="101"/>
    </row>
    <row r="13" spans="2:5" x14ac:dyDescent="0.2">
      <c r="B13" s="60" t="s">
        <v>100</v>
      </c>
      <c r="C13" s="11">
        <v>60</v>
      </c>
      <c r="E13" s="101"/>
    </row>
    <row r="14" spans="2:5" x14ac:dyDescent="0.2">
      <c r="B14" s="60" t="s">
        <v>101</v>
      </c>
      <c r="C14" s="11">
        <v>13</v>
      </c>
      <c r="E14" s="101"/>
    </row>
    <row r="15" spans="2:5" ht="14.1" customHeight="1" thickBot="1" x14ac:dyDescent="0.25">
      <c r="B15" s="100" t="s">
        <v>102</v>
      </c>
      <c r="C15" s="24">
        <f>SUM(C8:C14)</f>
        <v>462</v>
      </c>
      <c r="D15" s="37" t="s">
        <v>94</v>
      </c>
      <c r="E15" s="99"/>
    </row>
    <row r="16" spans="2:5" ht="14.1" customHeight="1" thickTop="1" x14ac:dyDescent="0.2"/>
    <row r="17" spans="2:19" x14ac:dyDescent="0.2">
      <c r="L17" s="30" t="s">
        <v>103</v>
      </c>
    </row>
    <row r="18" spans="2:19" ht="14.1" customHeight="1" thickBot="1" x14ac:dyDescent="0.25">
      <c r="B18" s="31" t="s">
        <v>104</v>
      </c>
    </row>
    <row r="19" spans="2:19" ht="15" customHeight="1" thickTop="1" thickBot="1" x14ac:dyDescent="0.25">
      <c r="H19" s="11"/>
      <c r="L19" s="17" t="s">
        <v>105</v>
      </c>
      <c r="M19" s="32"/>
      <c r="O19" s="17" t="s">
        <v>106</v>
      </c>
      <c r="P19" s="26"/>
      <c r="Q19" s="18"/>
      <c r="R19" s="18"/>
      <c r="S19" s="32"/>
    </row>
    <row r="20" spans="2:19" ht="14.1" customHeight="1" thickTop="1" x14ac:dyDescent="0.2">
      <c r="B20" s="17" t="s">
        <v>107</v>
      </c>
      <c r="C20" s="18"/>
      <c r="D20" s="18"/>
      <c r="E20" s="18"/>
      <c r="F20" s="18"/>
      <c r="G20" s="19"/>
      <c r="L20" s="40"/>
      <c r="M20" s="38" t="s">
        <v>108</v>
      </c>
      <c r="O20" s="20"/>
      <c r="R20" s="15" t="s">
        <v>91</v>
      </c>
      <c r="S20" s="33"/>
    </row>
    <row r="21" spans="2:19" x14ac:dyDescent="0.2">
      <c r="B21" s="46" t="s">
        <v>109</v>
      </c>
      <c r="D21" s="210"/>
      <c r="E21" s="205"/>
      <c r="F21" s="205"/>
      <c r="G21" s="33"/>
      <c r="L21" s="22" t="s">
        <v>110</v>
      </c>
      <c r="M21" s="85">
        <v>30</v>
      </c>
      <c r="O21" s="34" t="s">
        <v>111</v>
      </c>
      <c r="P21" s="39"/>
      <c r="Q21" s="14"/>
      <c r="R21" s="35" t="s">
        <v>112</v>
      </c>
      <c r="S21" s="33"/>
    </row>
    <row r="22" spans="2:19" ht="14.1" customHeight="1" thickBot="1" x14ac:dyDescent="0.25">
      <c r="B22" s="20"/>
      <c r="C22" s="211" t="s">
        <v>113</v>
      </c>
      <c r="D22" s="205"/>
      <c r="G22" s="33"/>
      <c r="L22" s="22" t="s">
        <v>114</v>
      </c>
      <c r="M22" s="86">
        <v>68</v>
      </c>
      <c r="O22" s="20"/>
      <c r="Q22" s="7" t="s">
        <v>95</v>
      </c>
      <c r="R22" s="72">
        <v>250</v>
      </c>
      <c r="S22" s="33"/>
    </row>
    <row r="23" spans="2:19" ht="14.1" customHeight="1" thickBot="1" x14ac:dyDescent="0.25">
      <c r="B23" s="21" t="s">
        <v>115</v>
      </c>
      <c r="C23" s="62" t="s">
        <v>95</v>
      </c>
      <c r="D23" s="63" t="s">
        <v>116</v>
      </c>
      <c r="G23" s="33"/>
      <c r="L23" s="23" t="s">
        <v>117</v>
      </c>
      <c r="M23" s="81">
        <v>20</v>
      </c>
      <c r="O23" s="29"/>
      <c r="P23" s="37"/>
      <c r="Q23" s="25" t="s">
        <v>116</v>
      </c>
      <c r="R23" s="79">
        <v>220</v>
      </c>
      <c r="S23" s="57"/>
    </row>
    <row r="24" spans="2:19" x14ac:dyDescent="0.2">
      <c r="B24" s="22" t="s">
        <v>110</v>
      </c>
      <c r="C24" s="149">
        <v>2.64374E-2</v>
      </c>
      <c r="D24" s="150">
        <v>1.6686400000000001E-2</v>
      </c>
      <c r="G24" s="33"/>
      <c r="L24" s="7"/>
    </row>
    <row r="25" spans="2:19" x14ac:dyDescent="0.2">
      <c r="B25" s="22" t="s">
        <v>114</v>
      </c>
      <c r="C25" s="151">
        <v>3.6825400000000001E-2</v>
      </c>
      <c r="D25" s="152">
        <v>1.6735400000000001E-2</v>
      </c>
      <c r="G25" s="33"/>
      <c r="L25" s="7"/>
    </row>
    <row r="26" spans="2:19" x14ac:dyDescent="0.2">
      <c r="B26" s="22" t="s">
        <v>117</v>
      </c>
      <c r="C26" s="153">
        <v>3.1778399999999998E-2</v>
      </c>
      <c r="D26" s="154">
        <v>3.2513399999999998E-2</v>
      </c>
      <c r="G26" s="33"/>
    </row>
    <row r="27" spans="2:19" ht="14.1" customHeight="1" thickBot="1" x14ac:dyDescent="0.25">
      <c r="B27" s="23"/>
      <c r="C27" s="24"/>
      <c r="D27" s="24"/>
      <c r="E27" s="24"/>
      <c r="F27" s="24"/>
      <c r="G27" s="99"/>
      <c r="M27" s="30" t="s">
        <v>118</v>
      </c>
    </row>
    <row r="28" spans="2:19" ht="15" customHeight="1" thickTop="1" thickBot="1" x14ac:dyDescent="0.25">
      <c r="B28" s="105" t="s">
        <v>119</v>
      </c>
      <c r="C28" s="11"/>
      <c r="D28" s="11"/>
      <c r="E28" s="11"/>
      <c r="F28" s="11"/>
      <c r="G28" s="11"/>
    </row>
    <row r="29" spans="2:19" ht="15" customHeight="1" thickTop="1" thickBot="1" x14ac:dyDescent="0.25">
      <c r="B29" s="7"/>
      <c r="C29" s="11"/>
      <c r="D29" s="11"/>
      <c r="E29" s="11"/>
      <c r="F29" s="11"/>
      <c r="G29" s="11"/>
      <c r="H29" s="11"/>
      <c r="M29" s="47"/>
      <c r="N29" s="32"/>
    </row>
    <row r="30" spans="2:19" ht="14.1" customHeight="1" thickTop="1" x14ac:dyDescent="0.2">
      <c r="B30" s="17" t="s">
        <v>120</v>
      </c>
      <c r="C30" s="18"/>
      <c r="D30" s="27"/>
      <c r="E30" s="27"/>
      <c r="F30" s="27"/>
      <c r="G30" s="27"/>
      <c r="H30" s="27"/>
      <c r="I30" s="27"/>
      <c r="J30" s="19"/>
      <c r="K30" s="11"/>
      <c r="M30" s="90" t="s">
        <v>121</v>
      </c>
      <c r="N30" s="33"/>
    </row>
    <row r="31" spans="2:19" x14ac:dyDescent="0.2">
      <c r="B31" s="46" t="s">
        <v>122</v>
      </c>
      <c r="C31" s="15"/>
      <c r="D31" s="210"/>
      <c r="E31" s="205"/>
      <c r="F31" s="205"/>
      <c r="G31" s="205"/>
      <c r="H31" s="205"/>
      <c r="I31" s="205"/>
      <c r="J31" s="104"/>
      <c r="K31" s="141"/>
      <c r="M31" s="91" t="s">
        <v>123</v>
      </c>
      <c r="N31" s="33"/>
      <c r="R31" s="7"/>
    </row>
    <row r="32" spans="2:19" x14ac:dyDescent="0.2">
      <c r="B32" s="20"/>
      <c r="C32" s="15"/>
      <c r="D32" s="210" t="s">
        <v>124</v>
      </c>
      <c r="E32" s="205"/>
      <c r="F32" s="205"/>
      <c r="G32" s="205"/>
      <c r="H32" s="205"/>
      <c r="I32" s="205"/>
      <c r="J32" s="104"/>
      <c r="K32" s="141"/>
      <c r="M32" s="22" t="s">
        <v>125</v>
      </c>
      <c r="N32" s="155">
        <v>8.3333333333333339</v>
      </c>
      <c r="R32" s="7"/>
    </row>
    <row r="33" spans="2:14" ht="14.1" customHeight="1" thickBot="1" x14ac:dyDescent="0.25">
      <c r="B33" s="20"/>
      <c r="C33" s="14" t="s">
        <v>126</v>
      </c>
      <c r="D33" s="8" t="s">
        <v>95</v>
      </c>
      <c r="E33" s="8" t="s">
        <v>96</v>
      </c>
      <c r="F33" s="8" t="s">
        <v>97</v>
      </c>
      <c r="G33" s="8" t="s">
        <v>98</v>
      </c>
      <c r="H33" s="8" t="s">
        <v>99</v>
      </c>
      <c r="I33" s="8" t="s">
        <v>100</v>
      </c>
      <c r="J33" s="28" t="s">
        <v>127</v>
      </c>
      <c r="K33" s="8"/>
      <c r="M33" s="23" t="s">
        <v>128</v>
      </c>
      <c r="N33" s="156">
        <v>9.0909090909090917</v>
      </c>
    </row>
    <row r="34" spans="2:14" ht="14.1" customHeight="1" thickTop="1" x14ac:dyDescent="0.2">
      <c r="B34" s="212"/>
      <c r="C34" s="50" t="s">
        <v>95</v>
      </c>
      <c r="D34" s="157">
        <v>0</v>
      </c>
      <c r="E34" s="158">
        <v>4.0357142857142862E-2</v>
      </c>
      <c r="F34" s="158">
        <v>5.171428571428572E-2</v>
      </c>
      <c r="G34" s="158">
        <v>1.7357142857142859E-2</v>
      </c>
      <c r="H34" s="158">
        <v>5.5142857142857153E-2</v>
      </c>
      <c r="I34" s="158">
        <v>5.2999999999999999E-2</v>
      </c>
      <c r="J34" s="159">
        <v>4.1857142857142857E-2</v>
      </c>
      <c r="K34" s="160"/>
      <c r="M34" s="7"/>
    </row>
    <row r="35" spans="2:14" ht="14.1" customHeight="1" thickBot="1" x14ac:dyDescent="0.25">
      <c r="B35" s="213"/>
      <c r="C35" s="54" t="s">
        <v>116</v>
      </c>
      <c r="D35" s="161">
        <v>3.2357142857142862E-2</v>
      </c>
      <c r="E35" s="162">
        <v>4.1428571428571433E-2</v>
      </c>
      <c r="F35" s="162">
        <v>3.892857142857143E-2</v>
      </c>
      <c r="G35" s="162">
        <v>2.7285714285714281E-2</v>
      </c>
      <c r="H35" s="162">
        <v>2.2785714285714291E-2</v>
      </c>
      <c r="I35" s="162">
        <v>2.9000000000000001E-2</v>
      </c>
      <c r="J35" s="163">
        <v>4.2928571428571427E-2</v>
      </c>
      <c r="K35" s="160"/>
    </row>
    <row r="36" spans="2:14" ht="14.1" customHeight="1" thickTop="1" x14ac:dyDescent="0.2"/>
    <row r="39" spans="2:14" x14ac:dyDescent="0.2">
      <c r="B39" s="98" t="s">
        <v>129</v>
      </c>
    </row>
    <row r="40" spans="2:14" ht="14.1" customHeight="1" thickBot="1" x14ac:dyDescent="0.25"/>
    <row r="41" spans="2:14" ht="14.1" customHeight="1" thickTop="1" x14ac:dyDescent="0.2">
      <c r="B41" s="9" t="s">
        <v>130</v>
      </c>
      <c r="C41" s="1"/>
      <c r="D41" s="1"/>
      <c r="E41" s="1"/>
      <c r="F41" s="1"/>
      <c r="G41" s="1"/>
      <c r="H41" s="1"/>
      <c r="I41" s="1"/>
      <c r="J41" s="1"/>
      <c r="K41" s="2"/>
    </row>
    <row r="42" spans="2:14" ht="14.1" customHeight="1" thickBot="1" x14ac:dyDescent="0.25">
      <c r="B42" s="4"/>
      <c r="C42" s="8" t="s">
        <v>95</v>
      </c>
      <c r="D42" s="8" t="s">
        <v>116</v>
      </c>
      <c r="E42" s="5" t="s">
        <v>102</v>
      </c>
      <c r="F42" s="97" t="s">
        <v>131</v>
      </c>
      <c r="K42" s="3"/>
    </row>
    <row r="43" spans="2:14" ht="14.1" customHeight="1" thickBot="1" x14ac:dyDescent="0.25">
      <c r="B43" s="6" t="s">
        <v>110</v>
      </c>
      <c r="C43" s="118">
        <v>29.039999999999992</v>
      </c>
      <c r="D43" s="119">
        <v>0.96000000000000441</v>
      </c>
      <c r="E43" s="120">
        <f>SUM(C43:D43)</f>
        <v>29.999999999999996</v>
      </c>
      <c r="F43" s="137">
        <v>30</v>
      </c>
      <c r="K43" s="3"/>
    </row>
    <row r="44" spans="2:14" ht="14.1" customHeight="1" thickBot="1" x14ac:dyDescent="0.25">
      <c r="B44" s="6" t="s">
        <v>114</v>
      </c>
      <c r="C44" s="121">
        <v>0</v>
      </c>
      <c r="D44" s="122">
        <v>25.439999999999994</v>
      </c>
      <c r="E44" s="120">
        <f>SUM(C44:D44)</f>
        <v>25.439999999999994</v>
      </c>
      <c r="F44" s="138">
        <v>68</v>
      </c>
      <c r="K44" s="3"/>
    </row>
    <row r="45" spans="2:14" ht="14.1" customHeight="1" thickBot="1" x14ac:dyDescent="0.25">
      <c r="B45" s="13" t="s">
        <v>128</v>
      </c>
      <c r="C45" s="123">
        <v>0</v>
      </c>
      <c r="D45" s="124">
        <v>0</v>
      </c>
      <c r="E45" s="120">
        <f>SUM(C45:D45)</f>
        <v>0</v>
      </c>
      <c r="F45" s="139">
        <v>20</v>
      </c>
      <c r="K45" s="3"/>
    </row>
    <row r="46" spans="2:14" ht="14.1" customHeight="1" thickBot="1" x14ac:dyDescent="0.25">
      <c r="B46" s="6" t="s">
        <v>132</v>
      </c>
      <c r="C46" s="134">
        <f>SUM(C43:C45)</f>
        <v>29.039999999999992</v>
      </c>
      <c r="D46" s="135">
        <f>SUM(D43:D45)</f>
        <v>26.4</v>
      </c>
      <c r="E46" s="10"/>
      <c r="F46" s="95"/>
      <c r="K46" s="3"/>
    </row>
    <row r="47" spans="2:14" ht="14.1" customHeight="1" thickBot="1" x14ac:dyDescent="0.25">
      <c r="B47" s="6" t="s">
        <v>133</v>
      </c>
      <c r="C47" s="140">
        <f>(SUM(C43:C44)*$N$32)+C45*$N$33</f>
        <v>241.99999999999994</v>
      </c>
      <c r="D47" s="136">
        <f>(SUM(D43:D44)*$N$32)+D45*$N$33</f>
        <v>220</v>
      </c>
      <c r="E47" s="96" t="s">
        <v>134</v>
      </c>
      <c r="F47" s="95"/>
      <c r="K47" s="3"/>
    </row>
    <row r="48" spans="2:14" x14ac:dyDescent="0.2">
      <c r="B48" s="4"/>
      <c r="K48" s="3"/>
    </row>
    <row r="49" spans="2:11" x14ac:dyDescent="0.2">
      <c r="B49" s="43" t="s">
        <v>135</v>
      </c>
      <c r="K49" s="3"/>
    </row>
    <row r="50" spans="2:11" ht="14.1" customHeight="1" thickBot="1" x14ac:dyDescent="0.25">
      <c r="B50" s="4"/>
      <c r="C50" s="8" t="s">
        <v>95</v>
      </c>
      <c r="D50" s="8" t="s">
        <v>96</v>
      </c>
      <c r="E50" s="8" t="s">
        <v>97</v>
      </c>
      <c r="F50" s="8" t="s">
        <v>98</v>
      </c>
      <c r="G50" s="8" t="s">
        <v>99</v>
      </c>
      <c r="H50" s="8" t="s">
        <v>100</v>
      </c>
      <c r="I50" s="8" t="s">
        <v>127</v>
      </c>
      <c r="J50" s="8" t="s">
        <v>102</v>
      </c>
      <c r="K50" s="41" t="s">
        <v>131</v>
      </c>
    </row>
    <row r="51" spans="2:11" ht="14.1" customHeight="1" thickBot="1" x14ac:dyDescent="0.25">
      <c r="B51" s="6" t="s">
        <v>95</v>
      </c>
      <c r="C51" s="118">
        <v>103</v>
      </c>
      <c r="D51" s="119">
        <v>74</v>
      </c>
      <c r="E51" s="119">
        <v>0</v>
      </c>
      <c r="F51" s="119">
        <v>60</v>
      </c>
      <c r="G51" s="119">
        <v>0</v>
      </c>
      <c r="H51" s="119">
        <v>0</v>
      </c>
      <c r="I51" s="125">
        <v>4.9999999999999885</v>
      </c>
      <c r="J51" s="126">
        <f>SUM(C51:I51)</f>
        <v>242</v>
      </c>
      <c r="K51" s="127">
        <f>R22</f>
        <v>250</v>
      </c>
    </row>
    <row r="52" spans="2:11" ht="14.1" customHeight="1" thickBot="1" x14ac:dyDescent="0.25">
      <c r="B52" s="6" t="s">
        <v>116</v>
      </c>
      <c r="C52" s="121">
        <v>0</v>
      </c>
      <c r="D52" s="122">
        <v>0</v>
      </c>
      <c r="E52" s="122">
        <v>49.999999999999964</v>
      </c>
      <c r="F52" s="122">
        <v>0</v>
      </c>
      <c r="G52" s="122">
        <v>102</v>
      </c>
      <c r="H52" s="122">
        <v>60</v>
      </c>
      <c r="I52" s="128">
        <v>8.0000000000000124</v>
      </c>
      <c r="J52" s="126">
        <f>SUM(C52:I52)</f>
        <v>219.99999999999997</v>
      </c>
      <c r="K52" s="129">
        <f>R23</f>
        <v>220</v>
      </c>
    </row>
    <row r="53" spans="2:11" ht="14.1" customHeight="1" thickBot="1" x14ac:dyDescent="0.25">
      <c r="B53" s="6" t="s">
        <v>102</v>
      </c>
      <c r="C53" s="130">
        <f t="shared" ref="C53:I53" si="0">SUM(C51:C52)</f>
        <v>103</v>
      </c>
      <c r="D53" s="130">
        <f t="shared" si="0"/>
        <v>74</v>
      </c>
      <c r="E53" s="130">
        <f t="shared" si="0"/>
        <v>49.999999999999964</v>
      </c>
      <c r="F53" s="130">
        <f t="shared" si="0"/>
        <v>60</v>
      </c>
      <c r="G53" s="130">
        <f t="shared" si="0"/>
        <v>102</v>
      </c>
      <c r="H53" s="130">
        <f t="shared" si="0"/>
        <v>60</v>
      </c>
      <c r="I53" s="130">
        <f t="shared" si="0"/>
        <v>13</v>
      </c>
      <c r="J53" s="12"/>
      <c r="K53" s="3"/>
    </row>
    <row r="54" spans="2:11" ht="14.1" customHeight="1" thickBot="1" x14ac:dyDescent="0.25">
      <c r="B54" s="42" t="s">
        <v>136</v>
      </c>
      <c r="C54" s="131">
        <v>103</v>
      </c>
      <c r="D54" s="132">
        <v>74</v>
      </c>
      <c r="E54" s="132">
        <v>50</v>
      </c>
      <c r="F54" s="132">
        <v>60</v>
      </c>
      <c r="G54" s="132">
        <v>102</v>
      </c>
      <c r="H54" s="132">
        <v>60</v>
      </c>
      <c r="I54" s="133">
        <v>13</v>
      </c>
      <c r="J54" s="12" t="s">
        <v>94</v>
      </c>
      <c r="K54" s="3"/>
    </row>
    <row r="55" spans="2:11" ht="15" customHeight="1" thickTop="1" thickBot="1" x14ac:dyDescent="0.25">
      <c r="B55" s="4"/>
      <c r="I55" s="94" t="s">
        <v>137</v>
      </c>
      <c r="J55" s="93"/>
      <c r="K55" s="164">
        <f>SUMPRODUCT(C24:D26,C43:D45)+SUMPRODUCT(D34:J35,C51:I52)</f>
        <v>11.800652473142856</v>
      </c>
    </row>
    <row r="56" spans="2:11" ht="15" customHeight="1" thickTop="1" thickBot="1" x14ac:dyDescent="0.25">
      <c r="B56" s="87"/>
      <c r="C56" s="88"/>
      <c r="D56" s="88"/>
      <c r="E56" s="88"/>
      <c r="F56" s="88"/>
      <c r="G56" s="92" t="s">
        <v>94</v>
      </c>
      <c r="H56" s="92"/>
      <c r="I56" s="88"/>
      <c r="J56" s="208" t="s">
        <v>138</v>
      </c>
      <c r="K56" s="209"/>
    </row>
    <row r="57" spans="2:11" ht="14.1" customHeight="1" thickTop="1" x14ac:dyDescent="0.2"/>
  </sheetData>
  <mergeCells count="6">
    <mergeCell ref="D21:F21"/>
    <mergeCell ref="J56:K56"/>
    <mergeCell ref="D32:I32"/>
    <mergeCell ref="D31:I31"/>
    <mergeCell ref="C22:D22"/>
    <mergeCell ref="B34:B3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T38"/>
  <sheetViews>
    <sheetView showGridLines="0" zoomScale="60" zoomScaleNormal="60" workbookViewId="0">
      <selection activeCell="M17" sqref="M17"/>
    </sheetView>
  </sheetViews>
  <sheetFormatPr defaultColWidth="9" defaultRowHeight="12.75" x14ac:dyDescent="0.2"/>
  <cols>
    <col min="11" max="11" width="11.140625" customWidth="1"/>
    <col min="12" max="12" width="15.5703125" customWidth="1"/>
    <col min="13" max="13" width="13.85546875" customWidth="1"/>
    <col min="14" max="14" width="13.5703125" customWidth="1"/>
  </cols>
  <sheetData>
    <row r="1" spans="2:20" x14ac:dyDescent="0.2">
      <c r="B1" t="s">
        <v>139</v>
      </c>
    </row>
    <row r="3" spans="2:20" x14ac:dyDescent="0.2">
      <c r="B3" s="31" t="s">
        <v>104</v>
      </c>
      <c r="L3" s="30" t="s">
        <v>103</v>
      </c>
    </row>
    <row r="4" spans="2:20" ht="14.1" customHeight="1" thickBot="1" x14ac:dyDescent="0.25">
      <c r="H4" s="11"/>
    </row>
    <row r="5" spans="2:20" ht="14.1" customHeight="1" thickTop="1" x14ac:dyDescent="0.2">
      <c r="B5" s="17" t="s">
        <v>107</v>
      </c>
      <c r="C5" s="18"/>
      <c r="D5" s="18"/>
      <c r="E5" s="18"/>
      <c r="F5" s="18"/>
      <c r="G5" s="27"/>
      <c r="H5" s="55"/>
      <c r="I5" s="18"/>
      <c r="J5" s="32"/>
      <c r="L5" s="17" t="s">
        <v>105</v>
      </c>
      <c r="M5" s="32"/>
      <c r="P5" s="17" t="s">
        <v>106</v>
      </c>
      <c r="Q5" s="26"/>
      <c r="R5" s="18"/>
      <c r="S5" s="18"/>
      <c r="T5" s="32"/>
    </row>
    <row r="6" spans="2:20" x14ac:dyDescent="0.2">
      <c r="B6" s="46" t="s">
        <v>140</v>
      </c>
      <c r="D6" s="210" t="s">
        <v>141</v>
      </c>
      <c r="E6" s="205"/>
      <c r="F6" s="205"/>
      <c r="H6" s="141"/>
      <c r="J6" s="33"/>
      <c r="L6" s="40"/>
      <c r="M6" s="38" t="s">
        <v>108</v>
      </c>
      <c r="N6" s="15"/>
      <c r="P6" s="20"/>
      <c r="S6" s="15" t="s">
        <v>91</v>
      </c>
      <c r="T6" s="33"/>
    </row>
    <row r="7" spans="2:20" ht="14.1" customHeight="1" thickBot="1" x14ac:dyDescent="0.25">
      <c r="B7" s="20"/>
      <c r="C7" s="211" t="s">
        <v>113</v>
      </c>
      <c r="D7" s="205"/>
      <c r="E7" s="217" t="s">
        <v>142</v>
      </c>
      <c r="F7" s="218"/>
      <c r="G7" s="218"/>
      <c r="H7" s="218"/>
      <c r="I7" s="218"/>
      <c r="J7" s="107"/>
      <c r="K7" s="142"/>
      <c r="L7" s="22" t="s">
        <v>110</v>
      </c>
      <c r="M7" s="85">
        <v>30</v>
      </c>
      <c r="N7" s="10"/>
      <c r="P7" s="34" t="s">
        <v>111</v>
      </c>
      <c r="Q7" s="39"/>
      <c r="R7" s="14"/>
      <c r="S7" s="35" t="s">
        <v>112</v>
      </c>
      <c r="T7" s="33"/>
    </row>
    <row r="8" spans="2:20" ht="14.1" customHeight="1" thickBot="1" x14ac:dyDescent="0.25">
      <c r="B8" s="21" t="s">
        <v>115</v>
      </c>
      <c r="C8" s="62" t="s">
        <v>95</v>
      </c>
      <c r="D8" s="63" t="s">
        <v>116</v>
      </c>
      <c r="E8" s="62" t="s">
        <v>96</v>
      </c>
      <c r="F8" s="64" t="s">
        <v>143</v>
      </c>
      <c r="G8" s="65" t="s">
        <v>144</v>
      </c>
      <c r="H8" s="65" t="s">
        <v>100</v>
      </c>
      <c r="I8" s="65" t="s">
        <v>145</v>
      </c>
      <c r="J8" s="66" t="s">
        <v>146</v>
      </c>
      <c r="K8" s="106"/>
      <c r="L8" s="22" t="s">
        <v>114</v>
      </c>
      <c r="M8" s="86">
        <v>68</v>
      </c>
      <c r="N8" s="10"/>
      <c r="P8" s="20"/>
      <c r="R8" s="7" t="s">
        <v>95</v>
      </c>
      <c r="S8" s="72">
        <v>250</v>
      </c>
      <c r="T8" s="33"/>
    </row>
    <row r="9" spans="2:20" ht="14.1" customHeight="1" thickBot="1" x14ac:dyDescent="0.25">
      <c r="B9" s="22" t="s">
        <v>110</v>
      </c>
      <c r="C9" s="149">
        <v>2.64374E-2</v>
      </c>
      <c r="D9" s="149">
        <v>1.6686400000000001E-2</v>
      </c>
      <c r="E9" s="149">
        <v>1.9920400000000001E-2</v>
      </c>
      <c r="F9" s="149">
        <v>1.9185399999999998E-2</v>
      </c>
      <c r="G9" s="149">
        <v>3.2170400000000002E-2</v>
      </c>
      <c r="H9" s="149">
        <v>3.6999999999999998E-2</v>
      </c>
      <c r="I9" s="165">
        <v>2.64374E-2</v>
      </c>
      <c r="J9" s="166">
        <v>1.6686400000000001E-2</v>
      </c>
      <c r="K9" s="167"/>
      <c r="L9" s="23" t="s">
        <v>117</v>
      </c>
      <c r="M9" s="81">
        <v>20</v>
      </c>
      <c r="N9" s="10"/>
      <c r="P9" s="20"/>
      <c r="R9" s="7" t="s">
        <v>116</v>
      </c>
      <c r="S9" s="78">
        <v>220</v>
      </c>
      <c r="T9" s="33"/>
    </row>
    <row r="10" spans="2:20" ht="14.1" customHeight="1" thickTop="1" x14ac:dyDescent="0.2">
      <c r="B10" s="22" t="s">
        <v>114</v>
      </c>
      <c r="C10" s="151">
        <v>3.6825400000000001E-2</v>
      </c>
      <c r="D10" s="151">
        <v>1.6735400000000001E-2</v>
      </c>
      <c r="E10" s="151">
        <v>3.0847400000000001E-2</v>
      </c>
      <c r="F10" s="151">
        <v>2.95734E-2</v>
      </c>
      <c r="G10" s="151">
        <v>2.1537400000000002E-2</v>
      </c>
      <c r="H10" s="151">
        <v>3.3000000000000002E-2</v>
      </c>
      <c r="I10" s="154">
        <v>3.6825400000000001E-2</v>
      </c>
      <c r="J10" s="168">
        <v>1.6735400000000001E-2</v>
      </c>
      <c r="K10" s="167"/>
      <c r="L10" s="7"/>
      <c r="P10" s="34" t="s">
        <v>147</v>
      </c>
      <c r="Q10" s="39"/>
      <c r="S10" s="67" t="s">
        <v>148</v>
      </c>
      <c r="T10" s="36" t="s">
        <v>149</v>
      </c>
    </row>
    <row r="11" spans="2:20" x14ac:dyDescent="0.2">
      <c r="B11" s="22" t="s">
        <v>117</v>
      </c>
      <c r="C11" s="153">
        <v>3.1778399999999998E-2</v>
      </c>
      <c r="D11" s="153">
        <v>3.2513399999999998E-2</v>
      </c>
      <c r="E11" s="153">
        <v>4.0934000000000014E-3</v>
      </c>
      <c r="F11" s="153">
        <v>2.76134E-2</v>
      </c>
      <c r="G11" s="153">
        <v>4.799740000000001E-2</v>
      </c>
      <c r="H11" s="153">
        <v>5.2999999999999999E-2</v>
      </c>
      <c r="I11" s="154">
        <v>3.1778399999999998E-2</v>
      </c>
      <c r="J11" s="168">
        <v>3.2513399999999998E-2</v>
      </c>
      <c r="K11" s="167"/>
      <c r="L11" s="7"/>
      <c r="P11" s="20"/>
      <c r="R11" s="16" t="s">
        <v>96</v>
      </c>
      <c r="S11" s="72">
        <v>90</v>
      </c>
      <c r="T11" s="73">
        <v>30</v>
      </c>
    </row>
    <row r="12" spans="2:20" ht="14.1" customHeight="1" thickBot="1" x14ac:dyDescent="0.25">
      <c r="B12" s="23"/>
      <c r="C12" s="24"/>
      <c r="D12" s="24"/>
      <c r="E12" s="24"/>
      <c r="F12" s="24"/>
      <c r="G12" s="24"/>
      <c r="H12" s="56"/>
      <c r="I12" s="108"/>
      <c r="J12" s="109"/>
      <c r="L12" s="30" t="s">
        <v>118</v>
      </c>
      <c r="P12" s="20"/>
      <c r="R12" s="7" t="s">
        <v>143</v>
      </c>
      <c r="S12" s="72">
        <v>90</v>
      </c>
      <c r="T12" s="73">
        <v>30</v>
      </c>
    </row>
    <row r="13" spans="2:20" ht="15" customHeight="1" thickTop="1" thickBot="1" x14ac:dyDescent="0.25">
      <c r="B13" s="7"/>
      <c r="C13" s="11"/>
      <c r="D13" s="11"/>
      <c r="E13" s="11"/>
      <c r="F13" s="11"/>
      <c r="G13" s="11"/>
      <c r="H13" s="11"/>
      <c r="P13" s="20"/>
      <c r="R13" s="7" t="s">
        <v>144</v>
      </c>
      <c r="S13" s="72">
        <v>90</v>
      </c>
      <c r="T13" s="73">
        <v>30</v>
      </c>
    </row>
    <row r="14" spans="2:20" ht="14.1" customHeight="1" thickTop="1" x14ac:dyDescent="0.2">
      <c r="B14" s="17" t="s">
        <v>120</v>
      </c>
      <c r="C14" s="18"/>
      <c r="D14" s="27"/>
      <c r="E14" s="27"/>
      <c r="F14" s="27"/>
      <c r="G14" s="27"/>
      <c r="H14" s="27"/>
      <c r="I14" s="27"/>
      <c r="J14" s="115"/>
      <c r="K14" s="11"/>
      <c r="L14" s="47"/>
      <c r="M14" s="32"/>
      <c r="P14" s="20"/>
      <c r="R14" s="7" t="s">
        <v>100</v>
      </c>
      <c r="S14" s="72">
        <v>90</v>
      </c>
      <c r="T14" s="73">
        <v>30</v>
      </c>
    </row>
    <row r="15" spans="2:20" x14ac:dyDescent="0.2">
      <c r="B15" s="46" t="s">
        <v>122</v>
      </c>
      <c r="C15" s="15"/>
      <c r="D15" s="210"/>
      <c r="E15" s="205"/>
      <c r="F15" s="205"/>
      <c r="G15" s="205"/>
      <c r="H15" s="205"/>
      <c r="I15" s="205"/>
      <c r="J15" s="116"/>
      <c r="K15" s="141"/>
      <c r="L15" s="90" t="s">
        <v>121</v>
      </c>
      <c r="M15" s="33"/>
      <c r="P15" s="20"/>
      <c r="R15" s="7" t="s">
        <v>145</v>
      </c>
      <c r="S15" s="72">
        <v>90</v>
      </c>
      <c r="T15" s="73">
        <v>30</v>
      </c>
    </row>
    <row r="16" spans="2:20" ht="14.1" customHeight="1" thickBot="1" x14ac:dyDescent="0.25">
      <c r="B16" s="20"/>
      <c r="C16" s="15"/>
      <c r="D16" s="210" t="s">
        <v>124</v>
      </c>
      <c r="E16" s="205"/>
      <c r="F16" s="205"/>
      <c r="G16" s="205"/>
      <c r="H16" s="205"/>
      <c r="I16" s="205"/>
      <c r="J16" s="116"/>
      <c r="K16" s="141"/>
      <c r="L16" s="91" t="s">
        <v>123</v>
      </c>
      <c r="M16" s="33"/>
      <c r="P16" s="29"/>
      <c r="Q16" s="37"/>
      <c r="R16" s="25" t="s">
        <v>146</v>
      </c>
      <c r="S16" s="79">
        <v>90</v>
      </c>
      <c r="T16" s="80">
        <v>30</v>
      </c>
    </row>
    <row r="17" spans="2:18" ht="15" customHeight="1" thickTop="1" thickBot="1" x14ac:dyDescent="0.25">
      <c r="B17" s="20"/>
      <c r="C17" s="14" t="s">
        <v>126</v>
      </c>
      <c r="D17" s="8" t="s">
        <v>95</v>
      </c>
      <c r="E17" s="8" t="s">
        <v>96</v>
      </c>
      <c r="F17" s="8" t="s">
        <v>97</v>
      </c>
      <c r="G17" s="8" t="s">
        <v>98</v>
      </c>
      <c r="H17" s="8" t="s">
        <v>99</v>
      </c>
      <c r="I17" s="8" t="s">
        <v>100</v>
      </c>
      <c r="J17" s="28" t="s">
        <v>127</v>
      </c>
      <c r="K17" s="8"/>
      <c r="L17" s="22" t="s">
        <v>125</v>
      </c>
      <c r="M17" s="155">
        <v>8.3333333333333339</v>
      </c>
      <c r="Q17" s="7"/>
    </row>
    <row r="18" spans="2:18" ht="14.1" customHeight="1" thickBot="1" x14ac:dyDescent="0.25">
      <c r="B18" s="219" t="s">
        <v>150</v>
      </c>
      <c r="C18" s="50" t="s">
        <v>95</v>
      </c>
      <c r="D18" s="157">
        <v>0</v>
      </c>
      <c r="E18" s="158">
        <v>4.0357142857142862E-2</v>
      </c>
      <c r="F18" s="158">
        <v>5.171428571428572E-2</v>
      </c>
      <c r="G18" s="158">
        <v>1.7357142857142859E-2</v>
      </c>
      <c r="H18" s="158">
        <v>5.5142857142857153E-2</v>
      </c>
      <c r="I18" s="158">
        <v>5.2999999999999999E-2</v>
      </c>
      <c r="J18" s="159">
        <v>4.1857142857142857E-2</v>
      </c>
      <c r="K18" s="160"/>
      <c r="L18" s="23" t="s">
        <v>128</v>
      </c>
      <c r="M18" s="156">
        <v>9.0909090909090917</v>
      </c>
      <c r="Q18" s="7"/>
    </row>
    <row r="19" spans="2:18" ht="15" customHeight="1" thickTop="1" thickBot="1" x14ac:dyDescent="0.25">
      <c r="B19" s="220"/>
      <c r="C19" s="51" t="s">
        <v>116</v>
      </c>
      <c r="D19" s="169">
        <v>3.2357142857142862E-2</v>
      </c>
      <c r="E19" s="170">
        <v>4.1428571428571433E-2</v>
      </c>
      <c r="F19" s="170">
        <v>3.892857142857143E-2</v>
      </c>
      <c r="G19" s="170">
        <v>2.7285714285714281E-2</v>
      </c>
      <c r="H19" s="170">
        <v>2.2785714285714291E-2</v>
      </c>
      <c r="I19" s="170">
        <v>2.9000000000000001E-2</v>
      </c>
      <c r="J19" s="171">
        <v>4.2928571428571427E-2</v>
      </c>
      <c r="K19" s="160"/>
      <c r="L19" s="7"/>
    </row>
    <row r="20" spans="2:18" x14ac:dyDescent="0.2">
      <c r="B20" s="221" t="s">
        <v>151</v>
      </c>
      <c r="C20" s="52" t="s">
        <v>96</v>
      </c>
      <c r="D20" s="157">
        <v>4.0357142857142862E-2</v>
      </c>
      <c r="E20" s="158">
        <v>0</v>
      </c>
      <c r="F20" s="158">
        <v>3.1785714285714292E-2</v>
      </c>
      <c r="G20" s="158">
        <v>2.3E-2</v>
      </c>
      <c r="H20" s="158">
        <v>6.192857142857143E-2</v>
      </c>
      <c r="I20" s="158">
        <v>7.1999999999999995E-2</v>
      </c>
      <c r="J20" s="159">
        <v>1.5E-3</v>
      </c>
      <c r="K20" s="160"/>
    </row>
    <row r="21" spans="2:18" x14ac:dyDescent="0.2">
      <c r="B21" s="222"/>
      <c r="C21" s="53" t="s">
        <v>143</v>
      </c>
      <c r="D21" s="172">
        <v>1.057142857142857E-2</v>
      </c>
      <c r="E21" s="173">
        <v>3.4285714285714287E-2</v>
      </c>
      <c r="F21" s="173">
        <v>4.1142857142857148E-2</v>
      </c>
      <c r="G21" s="173">
        <v>1.128571428571429E-2</v>
      </c>
      <c r="H21" s="173">
        <v>4.4571428571428567E-2</v>
      </c>
      <c r="I21" s="173">
        <v>4.2000000000000003E-2</v>
      </c>
      <c r="J21" s="174">
        <v>3.5785714285714289E-2</v>
      </c>
      <c r="K21" s="160"/>
      <c r="L21" s="45" t="s">
        <v>152</v>
      </c>
    </row>
    <row r="22" spans="2:18" ht="13.5" customHeight="1" thickBot="1" x14ac:dyDescent="0.25">
      <c r="B22" s="222"/>
      <c r="C22" s="53" t="s">
        <v>144</v>
      </c>
      <c r="D22" s="172">
        <v>6.7071428571428574E-2</v>
      </c>
      <c r="E22" s="173">
        <v>6.4000000000000001E-2</v>
      </c>
      <c r="F22" s="173">
        <v>3.9714285714285723E-2</v>
      </c>
      <c r="G22" s="173">
        <v>5.9785714285714289E-2</v>
      </c>
      <c r="H22" s="173">
        <v>2.3785714285714289E-2</v>
      </c>
      <c r="I22" s="173">
        <v>5.3999999999999999E-2</v>
      </c>
      <c r="J22" s="174">
        <v>6.5500000000000003E-2</v>
      </c>
      <c r="K22" s="160"/>
      <c r="L22" s="15" t="s">
        <v>90</v>
      </c>
    </row>
    <row r="23" spans="2:18" ht="14.1" customHeight="1" thickTop="1" x14ac:dyDescent="0.2">
      <c r="B23" s="222"/>
      <c r="C23" s="53" t="s">
        <v>100</v>
      </c>
      <c r="D23" s="172">
        <v>5.2999999999999999E-2</v>
      </c>
      <c r="E23" s="173">
        <v>7.1999999999999995E-2</v>
      </c>
      <c r="F23" s="173">
        <v>6.4000000000000001E-2</v>
      </c>
      <c r="G23" s="173">
        <v>5.2999999999999999E-2</v>
      </c>
      <c r="H23" s="173">
        <v>3.2000000000000001E-2</v>
      </c>
      <c r="I23" s="173">
        <v>0</v>
      </c>
      <c r="J23" s="174">
        <v>7.1999999999999995E-2</v>
      </c>
      <c r="K23" s="160"/>
      <c r="L23" s="58"/>
      <c r="M23" s="214" t="s">
        <v>153</v>
      </c>
    </row>
    <row r="24" spans="2:18" x14ac:dyDescent="0.2">
      <c r="B24" s="222"/>
      <c r="C24" s="53" t="s">
        <v>145</v>
      </c>
      <c r="D24" s="175">
        <v>0</v>
      </c>
      <c r="E24" s="176">
        <v>4.0357142857142862E-2</v>
      </c>
      <c r="F24" s="176">
        <v>5.171428571428572E-2</v>
      </c>
      <c r="G24" s="176">
        <v>1.7357142857142859E-2</v>
      </c>
      <c r="H24" s="176">
        <v>5.5142857142857153E-2</v>
      </c>
      <c r="I24" s="177">
        <v>5.2999999999999999E-2</v>
      </c>
      <c r="J24" s="178">
        <v>4.1857142857142857E-2</v>
      </c>
      <c r="K24" s="179"/>
      <c r="L24" s="49"/>
      <c r="M24" s="215"/>
    </row>
    <row r="25" spans="2:18" ht="14.1" customHeight="1" thickBot="1" x14ac:dyDescent="0.25">
      <c r="B25" s="111"/>
      <c r="C25" s="112" t="s">
        <v>146</v>
      </c>
      <c r="D25" s="180">
        <v>3.2357142857142862E-2</v>
      </c>
      <c r="E25" s="181">
        <v>4.1428571428571433E-2</v>
      </c>
      <c r="F25" s="181">
        <v>3.892857142857143E-2</v>
      </c>
      <c r="G25" s="181">
        <v>2.7285714285714281E-2</v>
      </c>
      <c r="H25" s="181">
        <v>2.2785714285714291E-2</v>
      </c>
      <c r="I25" s="182">
        <v>2.9000000000000001E-2</v>
      </c>
      <c r="J25" s="183">
        <v>4.2928571428571427E-2</v>
      </c>
      <c r="K25" s="179"/>
      <c r="L25" s="59" t="s">
        <v>92</v>
      </c>
      <c r="M25" s="216"/>
    </row>
    <row r="26" spans="2:18" x14ac:dyDescent="0.2">
      <c r="B26" s="110"/>
      <c r="C26" s="7"/>
      <c r="D26" s="184"/>
      <c r="E26" s="184"/>
      <c r="F26" s="184"/>
      <c r="G26" s="184"/>
      <c r="H26" s="184"/>
      <c r="I26" s="184"/>
      <c r="J26" s="185"/>
      <c r="K26" s="185"/>
      <c r="L26" s="60" t="s">
        <v>95</v>
      </c>
      <c r="M26" s="82">
        <v>150</v>
      </c>
    </row>
    <row r="27" spans="2:18" x14ac:dyDescent="0.2">
      <c r="B27" s="7"/>
      <c r="C27" s="186"/>
      <c r="D27" s="186"/>
      <c r="E27" s="186"/>
      <c r="F27" s="186"/>
      <c r="G27" s="186"/>
      <c r="H27" s="186"/>
      <c r="I27" s="185"/>
      <c r="J27" s="185"/>
      <c r="K27" s="185"/>
      <c r="L27" s="60" t="s">
        <v>96</v>
      </c>
      <c r="M27" s="84">
        <v>110</v>
      </c>
    </row>
    <row r="28" spans="2:18" x14ac:dyDescent="0.2">
      <c r="B28" s="31" t="s">
        <v>154</v>
      </c>
      <c r="C28" s="7"/>
      <c r="D28" s="186"/>
      <c r="E28" s="186"/>
      <c r="F28" s="186"/>
      <c r="G28" s="186"/>
      <c r="H28" s="186"/>
      <c r="I28" s="185"/>
      <c r="J28" s="185"/>
      <c r="K28" s="185"/>
      <c r="L28" s="60" t="s">
        <v>97</v>
      </c>
      <c r="M28" s="83">
        <v>100</v>
      </c>
      <c r="R28" s="7"/>
    </row>
    <row r="29" spans="2:18" ht="14.1" customHeight="1" thickBot="1" x14ac:dyDescent="0.25">
      <c r="B29" s="31"/>
      <c r="C29" s="7"/>
      <c r="D29" s="186"/>
      <c r="E29" s="186"/>
      <c r="F29" s="186"/>
      <c r="G29" s="186"/>
      <c r="H29" s="186"/>
      <c r="I29" s="185"/>
      <c r="J29" s="185"/>
      <c r="K29" s="185"/>
      <c r="L29" s="60" t="s">
        <v>98</v>
      </c>
      <c r="M29" s="84">
        <v>105</v>
      </c>
      <c r="R29" s="7"/>
    </row>
    <row r="30" spans="2:18" ht="14.1" customHeight="1" thickTop="1" x14ac:dyDescent="0.2">
      <c r="B30" s="47"/>
      <c r="C30" s="48" t="s">
        <v>155</v>
      </c>
      <c r="D30" s="89" t="s">
        <v>156</v>
      </c>
      <c r="E30" s="32"/>
      <c r="F30" s="186"/>
      <c r="G30" s="186"/>
      <c r="H30" s="186"/>
      <c r="I30" s="185"/>
      <c r="J30" s="185"/>
      <c r="K30" s="185"/>
      <c r="L30" s="60" t="s">
        <v>99</v>
      </c>
      <c r="M30" s="84">
        <v>140</v>
      </c>
    </row>
    <row r="31" spans="2:18" ht="14.1" customHeight="1" thickBot="1" x14ac:dyDescent="0.25">
      <c r="B31" s="21" t="s">
        <v>142</v>
      </c>
      <c r="D31" s="142" t="s">
        <v>157</v>
      </c>
      <c r="E31" s="44" t="s">
        <v>158</v>
      </c>
      <c r="F31" s="186"/>
      <c r="G31" s="186"/>
      <c r="H31" s="186"/>
      <c r="I31" s="185"/>
      <c r="J31" s="185"/>
      <c r="K31" s="185"/>
      <c r="L31" s="60" t="s">
        <v>100</v>
      </c>
      <c r="M31" s="76">
        <v>90</v>
      </c>
    </row>
    <row r="32" spans="2:18" ht="14.1" customHeight="1" thickBot="1" x14ac:dyDescent="0.25">
      <c r="B32" s="20"/>
      <c r="C32" s="16" t="s">
        <v>96</v>
      </c>
      <c r="D32" s="68">
        <v>5</v>
      </c>
      <c r="E32" s="69">
        <v>1</v>
      </c>
      <c r="F32" s="186"/>
      <c r="G32" s="186"/>
      <c r="H32" s="186"/>
      <c r="I32" s="185"/>
      <c r="J32" s="185"/>
      <c r="K32" s="185"/>
      <c r="L32" s="60" t="s">
        <v>101</v>
      </c>
      <c r="M32" s="117">
        <v>30</v>
      </c>
    </row>
    <row r="33" spans="2:13" ht="14.1" customHeight="1" thickBot="1" x14ac:dyDescent="0.25">
      <c r="B33" s="20"/>
      <c r="C33" s="7" t="s">
        <v>143</v>
      </c>
      <c r="D33" s="70">
        <v>4</v>
      </c>
      <c r="E33" s="71">
        <v>0.8</v>
      </c>
      <c r="F33" s="186"/>
      <c r="G33" s="186"/>
      <c r="H33" s="186"/>
      <c r="I33" s="185"/>
      <c r="J33" s="185"/>
      <c r="L33" s="61" t="s">
        <v>102</v>
      </c>
      <c r="M33" s="77">
        <v>725</v>
      </c>
    </row>
    <row r="34" spans="2:13" ht="14.1" customHeight="1" thickTop="1" x14ac:dyDescent="0.2">
      <c r="B34" s="20"/>
      <c r="C34" s="7" t="s">
        <v>144</v>
      </c>
      <c r="D34" s="113">
        <v>3.5</v>
      </c>
      <c r="E34" s="114">
        <v>0.7</v>
      </c>
      <c r="F34" s="186"/>
      <c r="G34" s="186"/>
      <c r="H34" s="186"/>
      <c r="I34" s="185"/>
      <c r="J34" s="185"/>
    </row>
    <row r="35" spans="2:13" x14ac:dyDescent="0.2">
      <c r="B35" s="20"/>
      <c r="C35" s="7" t="s">
        <v>100</v>
      </c>
      <c r="D35" s="72">
        <v>2.5</v>
      </c>
      <c r="E35" s="73">
        <v>0.5</v>
      </c>
      <c r="F35" s="186"/>
      <c r="G35" s="186"/>
      <c r="H35" s="186"/>
      <c r="I35" s="185"/>
      <c r="J35" s="185"/>
    </row>
    <row r="36" spans="2:13" x14ac:dyDescent="0.2">
      <c r="B36" s="22"/>
      <c r="C36" t="s">
        <v>145</v>
      </c>
      <c r="D36" s="72">
        <v>5.5</v>
      </c>
      <c r="E36" s="73">
        <v>1.2</v>
      </c>
      <c r="F36" s="186"/>
      <c r="G36" s="186"/>
      <c r="H36" s="186"/>
      <c r="I36" s="185"/>
      <c r="J36" s="185"/>
    </row>
    <row r="37" spans="2:13" ht="14.1" customHeight="1" thickBot="1" x14ac:dyDescent="0.25">
      <c r="B37" s="23"/>
      <c r="C37" s="37" t="s">
        <v>146</v>
      </c>
      <c r="D37" s="74">
        <v>3.5</v>
      </c>
      <c r="E37" s="75">
        <v>0.9</v>
      </c>
      <c r="F37" s="186"/>
      <c r="G37" s="186"/>
      <c r="H37" s="186"/>
      <c r="I37" s="185"/>
    </row>
    <row r="38" spans="2:13" ht="14.1" customHeight="1" thickTop="1" x14ac:dyDescent="0.2">
      <c r="D38" s="186"/>
      <c r="E38" s="186"/>
    </row>
  </sheetData>
  <mergeCells count="8">
    <mergeCell ref="B18:B19"/>
    <mergeCell ref="B20:B24"/>
    <mergeCell ref="D16:I16"/>
    <mergeCell ref="D6:F6"/>
    <mergeCell ref="M23:M25"/>
    <mergeCell ref="D15:I15"/>
    <mergeCell ref="C7:D7"/>
    <mergeCell ref="E7:I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8:B15"/>
  <sheetViews>
    <sheetView workbookViewId="0"/>
  </sheetViews>
  <sheetFormatPr defaultColWidth="10.85546875" defaultRowHeight="12.75" x14ac:dyDescent="0.2"/>
  <sheetData>
    <row r="8" spans="1:2" x14ac:dyDescent="0.2">
      <c r="A8" s="143"/>
      <c r="B8" s="143"/>
    </row>
    <row r="15" spans="1:2" x14ac:dyDescent="0.2">
      <c r="B15" s="14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1"/>
  <sheetViews>
    <sheetView zoomScale="80" zoomScaleNormal="80" workbookViewId="0">
      <selection activeCell="E35" sqref="E35"/>
    </sheetView>
  </sheetViews>
  <sheetFormatPr defaultRowHeight="12.75" x14ac:dyDescent="0.2"/>
  <cols>
    <col min="1" max="1" width="40.28515625" bestFit="1" customWidth="1"/>
    <col min="2" max="2" width="20.140625" bestFit="1" customWidth="1"/>
    <col min="3" max="3" width="30.140625" bestFit="1" customWidth="1"/>
    <col min="4" max="4" width="25.42578125" bestFit="1" customWidth="1"/>
    <col min="5" max="5" width="10.42578125" bestFit="1" customWidth="1"/>
    <col min="6" max="6" width="9.7109375" bestFit="1" customWidth="1"/>
    <col min="7" max="7" width="9" bestFit="1" customWidth="1"/>
    <col min="8" max="8" width="9.5703125" bestFit="1" customWidth="1"/>
    <col min="9" max="9" width="14.5703125" bestFit="1" customWidth="1"/>
    <col min="10" max="10" width="9.5703125" bestFit="1" customWidth="1"/>
    <col min="11" max="12" width="10.28515625" bestFit="1" customWidth="1"/>
    <col min="13" max="13" width="28.42578125" bestFit="1" customWidth="1"/>
    <col min="14" max="14" width="17" bestFit="1" customWidth="1"/>
    <col min="15" max="15" width="9" bestFit="1" customWidth="1"/>
  </cols>
  <sheetData>
    <row r="1" spans="1:15" x14ac:dyDescent="0.2">
      <c r="A1" s="204" t="s">
        <v>159</v>
      </c>
      <c r="B1" s="205"/>
      <c r="C1" s="205"/>
      <c r="D1" s="205"/>
      <c r="E1" s="205"/>
      <c r="F1" s="205"/>
      <c r="G1" s="205"/>
      <c r="H1" s="205"/>
    </row>
    <row r="2" spans="1:15" ht="18" customHeight="1" x14ac:dyDescent="0.2">
      <c r="A2" s="206" t="s">
        <v>160</v>
      </c>
      <c r="B2" s="205"/>
      <c r="C2" s="205"/>
      <c r="D2" s="205"/>
      <c r="E2" s="205"/>
      <c r="F2" s="205"/>
      <c r="G2" s="205"/>
      <c r="H2" s="205"/>
    </row>
    <row r="3" spans="1:15" ht="18" customHeight="1" x14ac:dyDescent="0.2">
      <c r="B3" s="188" t="s">
        <v>161</v>
      </c>
      <c r="C3" s="189" t="s">
        <v>95</v>
      </c>
      <c r="D3" s="189" t="s">
        <v>116</v>
      </c>
      <c r="E3" s="189" t="s">
        <v>96</v>
      </c>
      <c r="F3" s="189" t="s">
        <v>143</v>
      </c>
      <c r="G3" s="189" t="s">
        <v>144</v>
      </c>
      <c r="H3" s="189" t="s">
        <v>100</v>
      </c>
      <c r="I3" s="189" t="s">
        <v>145</v>
      </c>
      <c r="J3" s="189" t="s">
        <v>146</v>
      </c>
      <c r="L3" s="188" t="s">
        <v>162</v>
      </c>
      <c r="M3" s="207" t="s">
        <v>163</v>
      </c>
      <c r="N3" s="205"/>
      <c r="O3" s="205"/>
    </row>
    <row r="4" spans="1:15" ht="18" customHeight="1" x14ac:dyDescent="0.2">
      <c r="B4" s="190" t="s">
        <v>110</v>
      </c>
      <c r="C4" s="198">
        <v>27</v>
      </c>
      <c r="D4" s="198">
        <v>3.0000000000000275</v>
      </c>
      <c r="E4" s="198">
        <v>0</v>
      </c>
      <c r="F4" s="198">
        <v>1.040834085586086E-14</v>
      </c>
      <c r="G4" s="198">
        <v>0</v>
      </c>
      <c r="H4" s="198">
        <v>0</v>
      </c>
      <c r="I4" s="198">
        <v>0</v>
      </c>
      <c r="J4" s="198">
        <v>0</v>
      </c>
      <c r="L4" s="203">
        <f>SUM(C4:J4)</f>
        <v>30.000000000000039</v>
      </c>
      <c r="M4" s="192" t="s">
        <v>164</v>
      </c>
      <c r="N4" s="189" t="s">
        <v>157</v>
      </c>
      <c r="O4" s="189" t="s">
        <v>165</v>
      </c>
    </row>
    <row r="5" spans="1:15" ht="18" customHeight="1" x14ac:dyDescent="0.2">
      <c r="B5" s="190" t="s">
        <v>114</v>
      </c>
      <c r="C5" s="198">
        <v>0</v>
      </c>
      <c r="D5" s="198">
        <v>20.759999999999973</v>
      </c>
      <c r="E5" s="198">
        <v>0</v>
      </c>
      <c r="F5" s="198">
        <v>0</v>
      </c>
      <c r="G5" s="198">
        <v>1.2490009027032794E-15</v>
      </c>
      <c r="H5" s="198">
        <v>11.399999999999968</v>
      </c>
      <c r="I5" s="198">
        <v>0</v>
      </c>
      <c r="J5" s="198">
        <v>10.799999999999997</v>
      </c>
      <c r="L5" s="203">
        <f>SUM(C5:J5)</f>
        <v>42.959999999999937</v>
      </c>
      <c r="M5" s="192" t="s">
        <v>96</v>
      </c>
      <c r="N5" s="199">
        <v>1</v>
      </c>
      <c r="O5" s="199">
        <v>1</v>
      </c>
    </row>
    <row r="6" spans="1:15" ht="18" customHeight="1" x14ac:dyDescent="0.2">
      <c r="B6" s="190" t="s">
        <v>117</v>
      </c>
      <c r="C6" s="198">
        <v>0</v>
      </c>
      <c r="D6" s="198">
        <v>0</v>
      </c>
      <c r="E6" s="198">
        <v>14.040000000000035</v>
      </c>
      <c r="F6" s="198">
        <v>0</v>
      </c>
      <c r="G6" s="198">
        <v>0</v>
      </c>
      <c r="H6" s="198">
        <v>0</v>
      </c>
      <c r="I6" s="198">
        <v>0</v>
      </c>
      <c r="J6" s="198">
        <v>0</v>
      </c>
      <c r="L6" s="203">
        <f>SUM(C6:J6)</f>
        <v>14.040000000000035</v>
      </c>
      <c r="M6" s="192" t="s">
        <v>143</v>
      </c>
      <c r="N6" s="199">
        <v>0</v>
      </c>
      <c r="O6" s="199">
        <v>0</v>
      </c>
    </row>
    <row r="7" spans="1:15" ht="18" customHeight="1" x14ac:dyDescent="0.2">
      <c r="M7" s="193" t="s">
        <v>144</v>
      </c>
      <c r="N7" s="199">
        <v>0</v>
      </c>
      <c r="O7" s="199">
        <v>0</v>
      </c>
    </row>
    <row r="8" spans="1:15" ht="18" customHeight="1" x14ac:dyDescent="0.2">
      <c r="M8" s="193" t="s">
        <v>100</v>
      </c>
      <c r="N8" s="199">
        <v>1</v>
      </c>
      <c r="O8" s="199">
        <v>1</v>
      </c>
    </row>
    <row r="9" spans="1:15" ht="18" customHeight="1" x14ac:dyDescent="0.2">
      <c r="A9" s="206" t="s">
        <v>166</v>
      </c>
      <c r="B9" s="205"/>
      <c r="C9" s="205"/>
      <c r="D9" s="205"/>
      <c r="E9" s="205"/>
      <c r="F9" s="205"/>
      <c r="G9" s="205"/>
      <c r="H9" s="205"/>
      <c r="M9" s="193" t="s">
        <v>145</v>
      </c>
      <c r="N9" s="199">
        <v>0</v>
      </c>
      <c r="O9" s="199">
        <v>0</v>
      </c>
    </row>
    <row r="10" spans="1:15" ht="18" customHeight="1" x14ac:dyDescent="0.2">
      <c r="B10" s="188" t="s">
        <v>161</v>
      </c>
      <c r="C10" s="189" t="s">
        <v>95</v>
      </c>
      <c r="D10" s="189" t="s">
        <v>96</v>
      </c>
      <c r="E10" s="189" t="s">
        <v>97</v>
      </c>
      <c r="F10" s="189" t="s">
        <v>98</v>
      </c>
      <c r="G10" s="189" t="s">
        <v>99</v>
      </c>
      <c r="H10" s="189" t="s">
        <v>100</v>
      </c>
      <c r="I10" s="189" t="s">
        <v>127</v>
      </c>
      <c r="K10" s="188" t="s">
        <v>162</v>
      </c>
      <c r="M10" s="193" t="s">
        <v>146</v>
      </c>
      <c r="N10" s="199">
        <v>1</v>
      </c>
      <c r="O10" s="199">
        <v>0</v>
      </c>
    </row>
    <row r="11" spans="1:15" ht="18" customHeight="1" x14ac:dyDescent="0.2">
      <c r="B11" s="190" t="s">
        <v>95</v>
      </c>
      <c r="C11" s="198">
        <v>150</v>
      </c>
      <c r="D11" s="198">
        <v>0</v>
      </c>
      <c r="E11" s="198">
        <v>0</v>
      </c>
      <c r="F11" s="198">
        <v>75</v>
      </c>
      <c r="G11" s="198">
        <v>0</v>
      </c>
      <c r="H11" s="198">
        <v>0</v>
      </c>
      <c r="I11" s="198">
        <v>0</v>
      </c>
      <c r="K11" s="203">
        <f t="shared" ref="K11:K18" si="0">SUM(C11:I11)</f>
        <v>225</v>
      </c>
    </row>
    <row r="12" spans="1:15" x14ac:dyDescent="0.2">
      <c r="B12" s="190" t="s">
        <v>116</v>
      </c>
      <c r="C12" s="198">
        <v>0</v>
      </c>
      <c r="D12" s="198">
        <v>22.999999999999762</v>
      </c>
      <c r="E12" s="198">
        <v>99.999999999999972</v>
      </c>
      <c r="F12" s="198">
        <v>0</v>
      </c>
      <c r="G12" s="198">
        <v>75.000000000000298</v>
      </c>
      <c r="H12" s="198">
        <v>0</v>
      </c>
      <c r="I12" s="198">
        <v>0</v>
      </c>
      <c r="K12" s="203">
        <f t="shared" si="0"/>
        <v>198.00000000000003</v>
      </c>
      <c r="M12" s="30" t="s">
        <v>103</v>
      </c>
    </row>
    <row r="13" spans="1:15" ht="13.5" thickBot="1" x14ac:dyDescent="0.25">
      <c r="B13" s="190" t="s">
        <v>96</v>
      </c>
      <c r="C13" s="198">
        <v>0</v>
      </c>
      <c r="D13" s="198">
        <v>87.000000000000227</v>
      </c>
      <c r="E13" s="198">
        <v>0</v>
      </c>
      <c r="F13" s="198">
        <v>0</v>
      </c>
      <c r="G13" s="198">
        <v>0</v>
      </c>
      <c r="H13" s="198">
        <v>0</v>
      </c>
      <c r="I13" s="198">
        <v>30</v>
      </c>
      <c r="K13" s="203">
        <f t="shared" si="0"/>
        <v>117.00000000000023</v>
      </c>
    </row>
    <row r="14" spans="1:15" ht="13.5" thickTop="1" x14ac:dyDescent="0.2">
      <c r="B14" s="190" t="s">
        <v>143</v>
      </c>
      <c r="C14" s="198">
        <v>0</v>
      </c>
      <c r="D14" s="198">
        <v>0</v>
      </c>
      <c r="E14" s="198">
        <v>0</v>
      </c>
      <c r="F14" s="198">
        <v>0</v>
      </c>
      <c r="G14" s="198">
        <v>0</v>
      </c>
      <c r="H14" s="198">
        <v>0</v>
      </c>
      <c r="I14" s="198">
        <v>0</v>
      </c>
      <c r="K14" s="203">
        <f t="shared" si="0"/>
        <v>0</v>
      </c>
      <c r="M14" s="17" t="s">
        <v>105</v>
      </c>
      <c r="N14" s="32"/>
    </row>
    <row r="15" spans="1:15" x14ac:dyDescent="0.2">
      <c r="B15" s="190" t="s">
        <v>144</v>
      </c>
      <c r="C15" s="198">
        <v>0</v>
      </c>
      <c r="D15" s="198">
        <v>0</v>
      </c>
      <c r="E15" s="198">
        <v>0</v>
      </c>
      <c r="F15" s="198">
        <v>0</v>
      </c>
      <c r="G15" s="198">
        <v>0</v>
      </c>
      <c r="H15" s="198">
        <v>0</v>
      </c>
      <c r="I15" s="198">
        <v>0</v>
      </c>
      <c r="K15" s="203">
        <f t="shared" si="0"/>
        <v>0</v>
      </c>
      <c r="M15" s="40"/>
      <c r="N15" s="38" t="s">
        <v>108</v>
      </c>
    </row>
    <row r="16" spans="1:15" x14ac:dyDescent="0.2">
      <c r="B16" s="190" t="s">
        <v>100</v>
      </c>
      <c r="C16" s="198">
        <v>0</v>
      </c>
      <c r="D16" s="198">
        <v>0</v>
      </c>
      <c r="E16" s="198">
        <v>0</v>
      </c>
      <c r="F16" s="198">
        <v>0</v>
      </c>
      <c r="G16" s="198">
        <v>4.99999999999973</v>
      </c>
      <c r="H16" s="198">
        <v>90</v>
      </c>
      <c r="I16" s="198">
        <v>0</v>
      </c>
      <c r="K16" s="203">
        <f t="shared" si="0"/>
        <v>94.99999999999973</v>
      </c>
      <c r="M16" s="22" t="s">
        <v>110</v>
      </c>
      <c r="N16" s="85">
        <v>30</v>
      </c>
    </row>
    <row r="17" spans="1:14" x14ac:dyDescent="0.2">
      <c r="B17" s="190" t="s">
        <v>145</v>
      </c>
      <c r="C17" s="198">
        <v>0</v>
      </c>
      <c r="D17" s="198">
        <v>0</v>
      </c>
      <c r="E17" s="198">
        <v>0</v>
      </c>
      <c r="F17" s="198">
        <v>0</v>
      </c>
      <c r="G17" s="198">
        <v>0</v>
      </c>
      <c r="H17" s="198">
        <v>0</v>
      </c>
      <c r="I17" s="198">
        <v>0</v>
      </c>
      <c r="K17" s="203">
        <f t="shared" si="0"/>
        <v>0</v>
      </c>
      <c r="M17" s="22" t="s">
        <v>114</v>
      </c>
      <c r="N17" s="86">
        <v>68</v>
      </c>
    </row>
    <row r="18" spans="1:14" ht="13.5" thickBot="1" x14ac:dyDescent="0.25">
      <c r="B18" s="190" t="s">
        <v>146</v>
      </c>
      <c r="C18" s="198">
        <v>0</v>
      </c>
      <c r="D18" s="198">
        <v>0</v>
      </c>
      <c r="E18" s="198">
        <v>0</v>
      </c>
      <c r="F18" s="198">
        <v>29.999999999999918</v>
      </c>
      <c r="G18" s="198">
        <v>60.000000000000028</v>
      </c>
      <c r="H18" s="198">
        <v>0</v>
      </c>
      <c r="I18" s="198">
        <v>0</v>
      </c>
      <c r="K18" s="203">
        <f t="shared" si="0"/>
        <v>89.999999999999943</v>
      </c>
      <c r="M18" s="23" t="s">
        <v>117</v>
      </c>
      <c r="N18" s="81">
        <v>20</v>
      </c>
    </row>
    <row r="19" spans="1:14" ht="13.5" thickTop="1" x14ac:dyDescent="0.2"/>
    <row r="20" spans="1:14" ht="25.5" x14ac:dyDescent="0.2">
      <c r="B20" s="194" t="s">
        <v>167</v>
      </c>
      <c r="C20" s="203">
        <f t="shared" ref="C20:I20" si="1">SUM(C11:C18)</f>
        <v>150</v>
      </c>
      <c r="D20" s="203">
        <f t="shared" si="1"/>
        <v>109.99999999999999</v>
      </c>
      <c r="E20" s="203">
        <f t="shared" si="1"/>
        <v>99.999999999999972</v>
      </c>
      <c r="F20" s="203">
        <f t="shared" si="1"/>
        <v>104.99999999999991</v>
      </c>
      <c r="G20" s="203">
        <f t="shared" si="1"/>
        <v>140.00000000000006</v>
      </c>
      <c r="H20" s="203">
        <f t="shared" si="1"/>
        <v>90</v>
      </c>
      <c r="I20" s="203">
        <f t="shared" si="1"/>
        <v>30</v>
      </c>
    </row>
    <row r="21" spans="1:14" x14ac:dyDescent="0.2">
      <c r="B21" s="194" t="s">
        <v>93</v>
      </c>
      <c r="C21" s="202">
        <f>LongTermData!$M$26</f>
        <v>150</v>
      </c>
      <c r="D21" s="202">
        <f>LongTermData!$M$27</f>
        <v>110</v>
      </c>
      <c r="E21" s="202">
        <f>LongTermData!$M$28</f>
        <v>100</v>
      </c>
      <c r="F21" s="202">
        <f>LongTermData!$M$29</f>
        <v>105</v>
      </c>
      <c r="G21" s="202">
        <f>LongTermData!$M$30</f>
        <v>140</v>
      </c>
      <c r="H21" s="202">
        <f>LongTermData!$M$31</f>
        <v>90</v>
      </c>
      <c r="I21" s="202">
        <f>LongTermData!$M$32</f>
        <v>30</v>
      </c>
    </row>
    <row r="23" spans="1:14" x14ac:dyDescent="0.2">
      <c r="A23" s="204" t="s">
        <v>168</v>
      </c>
      <c r="B23" s="205"/>
      <c r="C23" s="205"/>
      <c r="D23" s="205"/>
      <c r="E23" s="205"/>
      <c r="F23" s="205"/>
      <c r="G23" s="205"/>
      <c r="H23" s="205"/>
    </row>
    <row r="24" spans="1:14" x14ac:dyDescent="0.2">
      <c r="A24" s="187" t="s">
        <v>169</v>
      </c>
      <c r="D24" s="195">
        <f>LongTermData!$M$17</f>
        <v>8.3333333333333339</v>
      </c>
    </row>
    <row r="26" spans="1:14" x14ac:dyDescent="0.2">
      <c r="A26" s="193" t="s">
        <v>170</v>
      </c>
      <c r="B26" s="193" t="s">
        <v>171</v>
      </c>
      <c r="C26" s="193" t="s">
        <v>172</v>
      </c>
      <c r="D26" s="193" t="s">
        <v>173</v>
      </c>
      <c r="E26" s="193" t="s">
        <v>131</v>
      </c>
    </row>
    <row r="27" spans="1:14" x14ac:dyDescent="0.2">
      <c r="A27" s="196" t="s">
        <v>95</v>
      </c>
      <c r="B27" s="191">
        <f>SUM(C4:C6)</f>
        <v>27</v>
      </c>
      <c r="C27" s="191">
        <f t="shared" ref="C27:C34" si="2">$D$24*B27</f>
        <v>225.00000000000003</v>
      </c>
      <c r="D27" s="191">
        <f t="shared" ref="D27:D34" si="3">K11</f>
        <v>225</v>
      </c>
      <c r="E27" s="191">
        <f>LongTermData!$S$8*0.9</f>
        <v>225</v>
      </c>
    </row>
    <row r="28" spans="1:14" x14ac:dyDescent="0.2">
      <c r="A28" s="196" t="s">
        <v>116</v>
      </c>
      <c r="B28" s="191">
        <f>SUM(D4:D6)</f>
        <v>23.76</v>
      </c>
      <c r="C28" s="191">
        <f t="shared" si="2"/>
        <v>198.00000000000003</v>
      </c>
      <c r="D28" s="191">
        <f t="shared" si="3"/>
        <v>198.00000000000003</v>
      </c>
      <c r="E28" s="191">
        <f>LongTermData!$S$9*0.9</f>
        <v>198</v>
      </c>
    </row>
    <row r="29" spans="1:14" x14ac:dyDescent="0.2">
      <c r="A29" s="196" t="s">
        <v>96</v>
      </c>
      <c r="B29" s="191">
        <f>SUM(E4:E6)</f>
        <v>14.040000000000035</v>
      </c>
      <c r="C29" s="191">
        <f t="shared" si="2"/>
        <v>117.0000000000003</v>
      </c>
      <c r="D29" s="191">
        <f t="shared" si="3"/>
        <v>117.00000000000023</v>
      </c>
      <c r="E29" s="191">
        <f>(LongTermData!$S$11*N5)+(LongTermData!$T$11*O5)*0.9</f>
        <v>117</v>
      </c>
    </row>
    <row r="30" spans="1:14" x14ac:dyDescent="0.2">
      <c r="A30" s="196" t="s">
        <v>143</v>
      </c>
      <c r="B30" s="191">
        <f>SUM(F4:F6)</f>
        <v>1.040834085586086E-14</v>
      </c>
      <c r="C30" s="191">
        <f t="shared" si="2"/>
        <v>8.6736173798840506E-14</v>
      </c>
      <c r="D30" s="191">
        <f t="shared" si="3"/>
        <v>0</v>
      </c>
      <c r="E30" s="191">
        <f>(LongTermData!$S$12*N6)+(LongTermData!$T$12*O6)</f>
        <v>0</v>
      </c>
    </row>
    <row r="31" spans="1:14" x14ac:dyDescent="0.2">
      <c r="A31" s="196" t="s">
        <v>144</v>
      </c>
      <c r="B31" s="191">
        <f>SUM(G4:G6)</f>
        <v>1.2490009027032794E-15</v>
      </c>
      <c r="C31" s="191">
        <f t="shared" si="2"/>
        <v>1.0408340855860663E-14</v>
      </c>
      <c r="D31" s="191">
        <f t="shared" si="3"/>
        <v>0</v>
      </c>
      <c r="E31" s="191">
        <f>(LongTermData!$S$13*N7)+(LongTermData!$T$13*O7)*0.9</f>
        <v>0</v>
      </c>
    </row>
    <row r="32" spans="1:14" x14ac:dyDescent="0.2">
      <c r="A32" s="196" t="s">
        <v>100</v>
      </c>
      <c r="B32" s="191">
        <f>SUM(H4:H6)</f>
        <v>11.399999999999968</v>
      </c>
      <c r="C32" s="191">
        <f t="shared" si="2"/>
        <v>94.999999999999744</v>
      </c>
      <c r="D32" s="191">
        <f t="shared" si="3"/>
        <v>94.99999999999973</v>
      </c>
      <c r="E32" s="191">
        <f>(LongTermData!$S$14*N8)+(LongTermData!$T$14*O8)*0.9</f>
        <v>117</v>
      </c>
    </row>
    <row r="33" spans="1:5" x14ac:dyDescent="0.2">
      <c r="A33" s="196" t="s">
        <v>145</v>
      </c>
      <c r="B33" s="191">
        <f>SUM(I4:I6)</f>
        <v>0</v>
      </c>
      <c r="C33" s="191">
        <f t="shared" si="2"/>
        <v>0</v>
      </c>
      <c r="D33" s="191">
        <f t="shared" si="3"/>
        <v>0</v>
      </c>
      <c r="E33" s="191">
        <f>(LongTermData!$S$15*N9)+(LongTermData!$T$15*O9)</f>
        <v>0</v>
      </c>
    </row>
    <row r="34" spans="1:5" x14ac:dyDescent="0.2">
      <c r="A34" s="196" t="s">
        <v>146</v>
      </c>
      <c r="B34" s="191">
        <f>SUM(J4:J6)</f>
        <v>10.799999999999997</v>
      </c>
      <c r="C34" s="191">
        <f t="shared" si="2"/>
        <v>89.999999999999986</v>
      </c>
      <c r="D34" s="191">
        <f t="shared" si="3"/>
        <v>89.999999999999943</v>
      </c>
      <c r="E34" s="191">
        <f>(LongTermData!$S$16*N10)+(LongTermData!$T$16*O10)*0.9</f>
        <v>90</v>
      </c>
    </row>
    <row r="37" spans="1:5" x14ac:dyDescent="0.2">
      <c r="A37" s="206" t="s">
        <v>174</v>
      </c>
      <c r="B37" s="205"/>
      <c r="C37" s="205"/>
      <c r="D37" s="205"/>
      <c r="E37" s="205"/>
    </row>
    <row r="38" spans="1:5" x14ac:dyDescent="0.2">
      <c r="A38" s="187" t="s">
        <v>175</v>
      </c>
      <c r="B38" s="201">
        <f>SUMPRODUCT(C4:J6,LongTermData!$C$9:$J$11)</f>
        <v>1.7257095599999992</v>
      </c>
    </row>
    <row r="39" spans="1:5" x14ac:dyDescent="0.2">
      <c r="A39" s="187" t="s">
        <v>176</v>
      </c>
      <c r="B39" s="201">
        <f>SUMPRODUCT(C11:I18,LongTermData!$D$18:$J$25)</f>
        <v>10.247142857142844</v>
      </c>
    </row>
    <row r="40" spans="1:5" x14ac:dyDescent="0.2">
      <c r="A40" s="187" t="s">
        <v>177</v>
      </c>
      <c r="B40" s="201">
        <f>SUMPRODUCT(N5:N10,LongTermData!D32:D37)+SUMPRODUCT(O5:O10,LongTermData!E32:E37)</f>
        <v>12.5</v>
      </c>
    </row>
    <row r="41" spans="1:5" ht="15.75" x14ac:dyDescent="0.25">
      <c r="A41" s="197" t="s">
        <v>178</v>
      </c>
      <c r="B41" s="200">
        <f>SUM(B38:B40)</f>
        <v>24.472852417142843</v>
      </c>
    </row>
  </sheetData>
  <mergeCells count="6">
    <mergeCell ref="M3:O3"/>
    <mergeCell ref="A37:E37"/>
    <mergeCell ref="A9:H9"/>
    <mergeCell ref="A1:H1"/>
    <mergeCell ref="A23:H23"/>
    <mergeCell ref="A2:H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994E-CF84-4AD3-949B-736E8575DE34}">
  <dimension ref="A1:O41"/>
  <sheetViews>
    <sheetView zoomScale="70" zoomScaleNormal="70" workbookViewId="0">
      <selection activeCell="N10" sqref="N10"/>
    </sheetView>
  </sheetViews>
  <sheetFormatPr defaultRowHeight="12.75" x14ac:dyDescent="0.2"/>
  <cols>
    <col min="1" max="1" width="40.28515625" bestFit="1" customWidth="1"/>
    <col min="2" max="2" width="20.140625" bestFit="1" customWidth="1"/>
    <col min="3" max="3" width="30.140625" bestFit="1" customWidth="1"/>
    <col min="4" max="4" width="25.42578125" bestFit="1" customWidth="1"/>
    <col min="5" max="5" width="10.42578125" bestFit="1" customWidth="1"/>
    <col min="6" max="6" width="9.7109375" bestFit="1" customWidth="1"/>
    <col min="7" max="7" width="9" bestFit="1" customWidth="1"/>
    <col min="8" max="8" width="9.5703125" bestFit="1" customWidth="1"/>
    <col min="9" max="9" width="14.5703125" bestFit="1" customWidth="1"/>
    <col min="10" max="10" width="9.5703125" bestFit="1" customWidth="1"/>
    <col min="11" max="12" width="10.28515625" bestFit="1" customWidth="1"/>
    <col min="13" max="13" width="28.42578125" bestFit="1" customWidth="1"/>
    <col min="14" max="14" width="17" bestFit="1" customWidth="1"/>
    <col min="15" max="15" width="9" bestFit="1" customWidth="1"/>
  </cols>
  <sheetData>
    <row r="1" spans="1:15" x14ac:dyDescent="0.2">
      <c r="A1" s="204" t="s">
        <v>159</v>
      </c>
      <c r="B1" s="205"/>
      <c r="C1" s="205"/>
      <c r="D1" s="205"/>
      <c r="E1" s="205"/>
      <c r="F1" s="205"/>
      <c r="G1" s="205"/>
      <c r="H1" s="205"/>
    </row>
    <row r="2" spans="1:15" ht="18" customHeight="1" x14ac:dyDescent="0.2">
      <c r="A2" s="206" t="s">
        <v>160</v>
      </c>
      <c r="B2" s="205"/>
      <c r="C2" s="205"/>
      <c r="D2" s="205"/>
      <c r="E2" s="205"/>
      <c r="F2" s="205"/>
      <c r="G2" s="205"/>
      <c r="H2" s="205"/>
    </row>
    <row r="3" spans="1:15" ht="18" customHeight="1" x14ac:dyDescent="0.2">
      <c r="B3" s="188" t="s">
        <v>161</v>
      </c>
      <c r="C3" s="189" t="s">
        <v>95</v>
      </c>
      <c r="D3" s="189" t="s">
        <v>116</v>
      </c>
      <c r="E3" s="189" t="s">
        <v>96</v>
      </c>
      <c r="F3" s="189" t="s">
        <v>143</v>
      </c>
      <c r="G3" s="189" t="s">
        <v>144</v>
      </c>
      <c r="H3" s="189" t="s">
        <v>100</v>
      </c>
      <c r="I3" s="189" t="s">
        <v>145</v>
      </c>
      <c r="J3" s="189" t="s">
        <v>146</v>
      </c>
      <c r="L3" s="188" t="s">
        <v>162</v>
      </c>
      <c r="M3" s="207" t="s">
        <v>163</v>
      </c>
      <c r="N3" s="205"/>
      <c r="O3" s="205"/>
    </row>
    <row r="4" spans="1:15" ht="18" customHeight="1" x14ac:dyDescent="0.2">
      <c r="B4" s="190" t="s">
        <v>110</v>
      </c>
      <c r="C4" s="198">
        <v>19.199999999999982</v>
      </c>
      <c r="D4" s="198">
        <v>0</v>
      </c>
      <c r="E4" s="198">
        <v>0</v>
      </c>
      <c r="F4" s="198">
        <v>10.8</v>
      </c>
      <c r="G4" s="198">
        <v>0</v>
      </c>
      <c r="H4" s="198">
        <v>0</v>
      </c>
      <c r="I4" s="198">
        <v>0</v>
      </c>
      <c r="J4" s="198">
        <v>0</v>
      </c>
      <c r="L4" s="203">
        <f>SUM(C4:J4)</f>
        <v>29.999999999999982</v>
      </c>
      <c r="M4" s="192" t="s">
        <v>164</v>
      </c>
      <c r="N4" s="189" t="s">
        <v>157</v>
      </c>
      <c r="O4" s="189" t="s">
        <v>165</v>
      </c>
    </row>
    <row r="5" spans="1:15" ht="18" customHeight="1" x14ac:dyDescent="0.2">
      <c r="B5" s="190" t="s">
        <v>114</v>
      </c>
      <c r="C5" s="198">
        <v>0</v>
      </c>
      <c r="D5" s="198">
        <v>26.4</v>
      </c>
      <c r="E5" s="198">
        <v>0</v>
      </c>
      <c r="F5" s="198">
        <v>0</v>
      </c>
      <c r="G5" s="198">
        <v>5.3290705182007538E-15</v>
      </c>
      <c r="H5" s="198">
        <v>10.799999999999997</v>
      </c>
      <c r="I5" s="198">
        <v>0</v>
      </c>
      <c r="J5" s="198">
        <v>0</v>
      </c>
      <c r="L5" s="203">
        <f>SUM(C5:J5)</f>
        <v>37.200000000000003</v>
      </c>
      <c r="M5" s="192" t="s">
        <v>96</v>
      </c>
      <c r="N5" s="199">
        <v>1</v>
      </c>
      <c r="O5" s="199">
        <v>1</v>
      </c>
    </row>
    <row r="6" spans="1:15" ht="18" customHeight="1" x14ac:dyDescent="0.2">
      <c r="B6" s="190" t="s">
        <v>117</v>
      </c>
      <c r="C6" s="198">
        <v>5.400000000000011</v>
      </c>
      <c r="D6" s="198">
        <v>0</v>
      </c>
      <c r="E6" s="198">
        <v>14.4</v>
      </c>
      <c r="F6" s="198">
        <v>0</v>
      </c>
      <c r="G6" s="198">
        <v>0</v>
      </c>
      <c r="H6" s="198">
        <v>0</v>
      </c>
      <c r="I6" s="198">
        <v>0</v>
      </c>
      <c r="J6" s="198">
        <v>0</v>
      </c>
      <c r="L6" s="203">
        <f>SUM(C6:J6)</f>
        <v>19.800000000000011</v>
      </c>
      <c r="M6" s="192" t="s">
        <v>143</v>
      </c>
      <c r="N6" s="199">
        <v>1</v>
      </c>
      <c r="O6" s="199">
        <v>0</v>
      </c>
    </row>
    <row r="7" spans="1:15" ht="18" customHeight="1" x14ac:dyDescent="0.2">
      <c r="M7" s="193" t="s">
        <v>144</v>
      </c>
      <c r="N7" s="199">
        <v>0</v>
      </c>
      <c r="O7" s="199">
        <v>0</v>
      </c>
    </row>
    <row r="8" spans="1:15" ht="18" customHeight="1" x14ac:dyDescent="0.2">
      <c r="M8" s="193" t="s">
        <v>100</v>
      </c>
      <c r="N8" s="199">
        <v>1</v>
      </c>
      <c r="O8" s="199">
        <v>0</v>
      </c>
    </row>
    <row r="9" spans="1:15" ht="18" customHeight="1" x14ac:dyDescent="0.2">
      <c r="A9" s="206" t="s">
        <v>166</v>
      </c>
      <c r="B9" s="205"/>
      <c r="C9" s="205"/>
      <c r="D9" s="205"/>
      <c r="E9" s="205"/>
      <c r="F9" s="205"/>
      <c r="G9" s="205"/>
      <c r="H9" s="205"/>
      <c r="M9" s="193" t="s">
        <v>145</v>
      </c>
      <c r="N9" s="199">
        <v>0</v>
      </c>
      <c r="O9" s="199">
        <v>0</v>
      </c>
    </row>
    <row r="10" spans="1:15" ht="18" customHeight="1" x14ac:dyDescent="0.2">
      <c r="B10" s="188" t="s">
        <v>161</v>
      </c>
      <c r="C10" s="189" t="s">
        <v>95</v>
      </c>
      <c r="D10" s="189" t="s">
        <v>96</v>
      </c>
      <c r="E10" s="189" t="s">
        <v>97</v>
      </c>
      <c r="F10" s="189" t="s">
        <v>98</v>
      </c>
      <c r="G10" s="189" t="s">
        <v>99</v>
      </c>
      <c r="H10" s="189" t="s">
        <v>100</v>
      </c>
      <c r="I10" s="189" t="s">
        <v>127</v>
      </c>
      <c r="K10" s="188" t="s">
        <v>162</v>
      </c>
      <c r="M10" s="193" t="s">
        <v>146</v>
      </c>
      <c r="N10" s="199">
        <v>0</v>
      </c>
      <c r="O10" s="199">
        <v>0</v>
      </c>
    </row>
    <row r="11" spans="1:15" ht="18" customHeight="1" x14ac:dyDescent="0.2">
      <c r="B11" s="190" t="s">
        <v>95</v>
      </c>
      <c r="C11" s="198">
        <v>149.99999999999994</v>
      </c>
      <c r="D11" s="198">
        <v>19.999999999999911</v>
      </c>
      <c r="E11" s="198">
        <v>0</v>
      </c>
      <c r="F11" s="198">
        <v>34.999999999999993</v>
      </c>
      <c r="G11" s="198">
        <v>0</v>
      </c>
      <c r="H11" s="198">
        <v>0</v>
      </c>
      <c r="I11" s="198">
        <v>0</v>
      </c>
      <c r="K11" s="203">
        <f t="shared" ref="K11:K18" si="0">SUM(C11:I11)</f>
        <v>204.99999999999986</v>
      </c>
    </row>
    <row r="12" spans="1:15" x14ac:dyDescent="0.2">
      <c r="B12" s="190" t="s">
        <v>116</v>
      </c>
      <c r="C12" s="198">
        <v>0</v>
      </c>
      <c r="D12" s="198">
        <v>0</v>
      </c>
      <c r="E12" s="198">
        <v>79.999999999999972</v>
      </c>
      <c r="F12" s="198">
        <v>0</v>
      </c>
      <c r="G12" s="198">
        <v>139.99999999999997</v>
      </c>
      <c r="H12" s="198">
        <v>0</v>
      </c>
      <c r="I12" s="198">
        <v>0</v>
      </c>
      <c r="K12" s="203">
        <f t="shared" si="0"/>
        <v>219.99999999999994</v>
      </c>
      <c r="M12" s="30" t="s">
        <v>103</v>
      </c>
    </row>
    <row r="13" spans="1:15" ht="13.5" thickBot="1" x14ac:dyDescent="0.25">
      <c r="B13" s="190" t="s">
        <v>96</v>
      </c>
      <c r="C13" s="198">
        <v>0</v>
      </c>
      <c r="D13" s="198">
        <v>90</v>
      </c>
      <c r="E13" s="198">
        <v>0</v>
      </c>
      <c r="F13" s="198">
        <v>0</v>
      </c>
      <c r="G13" s="198">
        <v>0</v>
      </c>
      <c r="H13" s="198">
        <v>0</v>
      </c>
      <c r="I13" s="198">
        <v>30.000000000000011</v>
      </c>
      <c r="K13" s="203">
        <f t="shared" si="0"/>
        <v>120.00000000000001</v>
      </c>
    </row>
    <row r="14" spans="1:15" ht="13.5" thickTop="1" x14ac:dyDescent="0.2">
      <c r="B14" s="190" t="s">
        <v>143</v>
      </c>
      <c r="C14" s="198">
        <v>0</v>
      </c>
      <c r="D14" s="198">
        <v>0</v>
      </c>
      <c r="E14" s="198">
        <v>20.000000000000064</v>
      </c>
      <c r="F14" s="198">
        <v>70</v>
      </c>
      <c r="G14" s="198">
        <v>0</v>
      </c>
      <c r="H14" s="198">
        <v>0</v>
      </c>
      <c r="I14" s="198">
        <v>0</v>
      </c>
      <c r="K14" s="203">
        <f t="shared" si="0"/>
        <v>90.000000000000057</v>
      </c>
      <c r="M14" s="17" t="s">
        <v>105</v>
      </c>
      <c r="N14" s="32"/>
    </row>
    <row r="15" spans="1:15" x14ac:dyDescent="0.2">
      <c r="B15" s="190" t="s">
        <v>144</v>
      </c>
      <c r="C15" s="198">
        <v>0</v>
      </c>
      <c r="D15" s="198">
        <v>0</v>
      </c>
      <c r="E15" s="198">
        <v>9.1704421834037918E-14</v>
      </c>
      <c r="F15" s="198">
        <v>0</v>
      </c>
      <c r="G15" s="198">
        <v>0</v>
      </c>
      <c r="H15" s="198">
        <v>0</v>
      </c>
      <c r="I15" s="198">
        <v>0</v>
      </c>
      <c r="K15" s="203">
        <f t="shared" si="0"/>
        <v>9.1704421834037918E-14</v>
      </c>
      <c r="M15" s="40"/>
      <c r="N15" s="38" t="s">
        <v>108</v>
      </c>
    </row>
    <row r="16" spans="1:15" x14ac:dyDescent="0.2">
      <c r="B16" s="190" t="s">
        <v>100</v>
      </c>
      <c r="C16" s="198">
        <v>0</v>
      </c>
      <c r="D16" s="198">
        <v>0</v>
      </c>
      <c r="E16" s="198">
        <v>0</v>
      </c>
      <c r="F16" s="198">
        <v>0</v>
      </c>
      <c r="G16" s="198">
        <v>0</v>
      </c>
      <c r="H16" s="198">
        <v>90</v>
      </c>
      <c r="I16" s="198">
        <v>0</v>
      </c>
      <c r="K16" s="203">
        <f t="shared" si="0"/>
        <v>90</v>
      </c>
      <c r="M16" s="22" t="s">
        <v>110</v>
      </c>
      <c r="N16" s="85">
        <v>30</v>
      </c>
    </row>
    <row r="17" spans="1:14" x14ac:dyDescent="0.2">
      <c r="B17" s="190" t="s">
        <v>145</v>
      </c>
      <c r="C17" s="198">
        <v>0</v>
      </c>
      <c r="D17" s="198">
        <v>6.3591107688251384E-15</v>
      </c>
      <c r="E17" s="198">
        <v>0</v>
      </c>
      <c r="F17" s="198">
        <v>0</v>
      </c>
      <c r="G17" s="198">
        <v>0</v>
      </c>
      <c r="H17" s="198">
        <v>0</v>
      </c>
      <c r="I17" s="198">
        <v>0</v>
      </c>
      <c r="K17" s="203">
        <f t="shared" si="0"/>
        <v>6.3591107688251384E-15</v>
      </c>
      <c r="M17" s="22" t="s">
        <v>114</v>
      </c>
      <c r="N17" s="86">
        <v>68</v>
      </c>
    </row>
    <row r="18" spans="1:14" ht="13.5" thickBot="1" x14ac:dyDescent="0.25">
      <c r="B18" s="190" t="s">
        <v>146</v>
      </c>
      <c r="C18" s="198">
        <v>0</v>
      </c>
      <c r="D18" s="198">
        <v>0</v>
      </c>
      <c r="E18" s="198">
        <v>0</v>
      </c>
      <c r="F18" s="198">
        <v>0</v>
      </c>
      <c r="G18" s="198">
        <v>0</v>
      </c>
      <c r="H18" s="198">
        <v>0</v>
      </c>
      <c r="I18" s="198">
        <v>0</v>
      </c>
      <c r="K18" s="203">
        <f t="shared" si="0"/>
        <v>0</v>
      </c>
      <c r="M18" s="23" t="s">
        <v>117</v>
      </c>
      <c r="N18" s="81">
        <v>20</v>
      </c>
    </row>
    <row r="19" spans="1:14" ht="13.5" thickTop="1" x14ac:dyDescent="0.2"/>
    <row r="20" spans="1:14" ht="25.5" x14ac:dyDescent="0.2">
      <c r="B20" s="194" t="s">
        <v>167</v>
      </c>
      <c r="C20" s="203">
        <f t="shared" ref="C20:I20" si="1">SUM(C11:C18)</f>
        <v>149.99999999999994</v>
      </c>
      <c r="D20" s="203">
        <f t="shared" si="1"/>
        <v>109.99999999999991</v>
      </c>
      <c r="E20" s="203">
        <f t="shared" si="1"/>
        <v>100.00000000000011</v>
      </c>
      <c r="F20" s="203">
        <f t="shared" si="1"/>
        <v>105</v>
      </c>
      <c r="G20" s="203">
        <f t="shared" si="1"/>
        <v>139.99999999999997</v>
      </c>
      <c r="H20" s="203">
        <f t="shared" si="1"/>
        <v>90</v>
      </c>
      <c r="I20" s="203">
        <f t="shared" si="1"/>
        <v>30.000000000000011</v>
      </c>
    </row>
    <row r="21" spans="1:14" x14ac:dyDescent="0.2">
      <c r="B21" s="194" t="s">
        <v>93</v>
      </c>
      <c r="C21" s="202">
        <f>LongTermData!$M$26</f>
        <v>150</v>
      </c>
      <c r="D21" s="202">
        <f>LongTermData!$M$27</f>
        <v>110</v>
      </c>
      <c r="E21" s="202">
        <f>LongTermData!$M$28</f>
        <v>100</v>
      </c>
      <c r="F21" s="202">
        <f>LongTermData!$M$29</f>
        <v>105</v>
      </c>
      <c r="G21" s="202">
        <f>LongTermData!$M$30</f>
        <v>140</v>
      </c>
      <c r="H21" s="202">
        <f>LongTermData!$M$31</f>
        <v>90</v>
      </c>
      <c r="I21" s="202">
        <f>LongTermData!$M$32</f>
        <v>30</v>
      </c>
    </row>
    <row r="23" spans="1:14" x14ac:dyDescent="0.2">
      <c r="A23" s="204" t="s">
        <v>168</v>
      </c>
      <c r="B23" s="205"/>
      <c r="C23" s="205"/>
      <c r="D23" s="205"/>
      <c r="E23" s="205"/>
      <c r="F23" s="205"/>
      <c r="G23" s="205"/>
      <c r="H23" s="205"/>
    </row>
    <row r="24" spans="1:14" x14ac:dyDescent="0.2">
      <c r="A24" s="187" t="s">
        <v>169</v>
      </c>
      <c r="D24" s="195">
        <f>LongTermData!$M$17</f>
        <v>8.3333333333333339</v>
      </c>
    </row>
    <row r="26" spans="1:14" x14ac:dyDescent="0.2">
      <c r="A26" s="193" t="s">
        <v>170</v>
      </c>
      <c r="B26" s="193" t="s">
        <v>171</v>
      </c>
      <c r="C26" s="193" t="s">
        <v>172</v>
      </c>
      <c r="D26" s="193" t="s">
        <v>173</v>
      </c>
      <c r="E26" s="193" t="s">
        <v>131</v>
      </c>
    </row>
    <row r="27" spans="1:14" x14ac:dyDescent="0.2">
      <c r="A27" s="196" t="s">
        <v>95</v>
      </c>
      <c r="B27" s="191">
        <f>SUM(C4:C6)</f>
        <v>24.599999999999994</v>
      </c>
      <c r="C27" s="191">
        <f t="shared" ref="C27:C34" si="2">$D$24*B27</f>
        <v>204.99999999999997</v>
      </c>
      <c r="D27" s="191">
        <f t="shared" ref="D27:D34" si="3">K11</f>
        <v>204.99999999999986</v>
      </c>
      <c r="E27" s="191">
        <f>LongTermData!$S$8</f>
        <v>250</v>
      </c>
    </row>
    <row r="28" spans="1:14" x14ac:dyDescent="0.2">
      <c r="A28" s="196" t="s">
        <v>116</v>
      </c>
      <c r="B28" s="191">
        <f>SUM(D4:D6)</f>
        <v>26.4</v>
      </c>
      <c r="C28" s="191">
        <f t="shared" si="2"/>
        <v>220</v>
      </c>
      <c r="D28" s="191">
        <f t="shared" si="3"/>
        <v>219.99999999999994</v>
      </c>
      <c r="E28" s="191">
        <f>LongTermData!$S$9</f>
        <v>220</v>
      </c>
    </row>
    <row r="29" spans="1:14" x14ac:dyDescent="0.2">
      <c r="A29" s="196" t="s">
        <v>96</v>
      </c>
      <c r="B29" s="191">
        <f>SUM(E4:E6)</f>
        <v>14.4</v>
      </c>
      <c r="C29" s="191">
        <f t="shared" si="2"/>
        <v>120.00000000000001</v>
      </c>
      <c r="D29" s="191">
        <f t="shared" si="3"/>
        <v>120.00000000000001</v>
      </c>
      <c r="E29" s="191">
        <f>(LongTermData!$S$11*N5)+(LongTermData!$T$11*O5)</f>
        <v>120</v>
      </c>
    </row>
    <row r="30" spans="1:14" x14ac:dyDescent="0.2">
      <c r="A30" s="196" t="s">
        <v>143</v>
      </c>
      <c r="B30" s="191">
        <f>SUM(F4:F6)</f>
        <v>10.8</v>
      </c>
      <c r="C30" s="191">
        <f t="shared" si="2"/>
        <v>90.000000000000014</v>
      </c>
      <c r="D30" s="191">
        <f t="shared" si="3"/>
        <v>90.000000000000057</v>
      </c>
      <c r="E30" s="191">
        <f>(LongTermData!$S$12*N6)+(LongTermData!$T$12*O6)</f>
        <v>90</v>
      </c>
    </row>
    <row r="31" spans="1:14" x14ac:dyDescent="0.2">
      <c r="A31" s="196" t="s">
        <v>144</v>
      </c>
      <c r="B31" s="191">
        <f>SUM(G4:G6)</f>
        <v>5.3290705182007538E-15</v>
      </c>
      <c r="C31" s="191">
        <f t="shared" si="2"/>
        <v>4.4408920985006287E-14</v>
      </c>
      <c r="D31" s="191">
        <f t="shared" si="3"/>
        <v>9.1704421834037918E-14</v>
      </c>
      <c r="E31" s="191">
        <f>(LongTermData!$S$13*N7)+(LongTermData!$T$13*O7)</f>
        <v>0</v>
      </c>
    </row>
    <row r="32" spans="1:14" x14ac:dyDescent="0.2">
      <c r="A32" s="196" t="s">
        <v>100</v>
      </c>
      <c r="B32" s="191">
        <f>SUM(H4:H6)</f>
        <v>10.799999999999997</v>
      </c>
      <c r="C32" s="191">
        <f t="shared" si="2"/>
        <v>89.999999999999986</v>
      </c>
      <c r="D32" s="191">
        <f t="shared" si="3"/>
        <v>90</v>
      </c>
      <c r="E32" s="191">
        <f>(LongTermData!$S$14*N8)+(LongTermData!$T$14*O8)</f>
        <v>90</v>
      </c>
    </row>
    <row r="33" spans="1:5" x14ac:dyDescent="0.2">
      <c r="A33" s="196" t="s">
        <v>145</v>
      </c>
      <c r="B33" s="191">
        <f>SUM(I4:I6)</f>
        <v>0</v>
      </c>
      <c r="C33" s="191">
        <f t="shared" si="2"/>
        <v>0</v>
      </c>
      <c r="D33" s="191">
        <f t="shared" si="3"/>
        <v>6.3591107688251384E-15</v>
      </c>
      <c r="E33" s="191">
        <f>(LongTermData!$S$15*N9)+(LongTermData!$T$15*O9)</f>
        <v>0</v>
      </c>
    </row>
    <row r="34" spans="1:5" x14ac:dyDescent="0.2">
      <c r="A34" s="196" t="s">
        <v>146</v>
      </c>
      <c r="B34" s="191">
        <f>SUM(J4:J6)</f>
        <v>0</v>
      </c>
      <c r="C34" s="191">
        <f t="shared" si="2"/>
        <v>0</v>
      </c>
      <c r="D34" s="191">
        <f t="shared" si="3"/>
        <v>0</v>
      </c>
      <c r="E34" s="191">
        <f>(LongTermData!$S$16*N10)+(LongTermData!$T$16*O10)</f>
        <v>0</v>
      </c>
    </row>
    <row r="37" spans="1:5" x14ac:dyDescent="0.2">
      <c r="A37" s="206" t="s">
        <v>174</v>
      </c>
      <c r="B37" s="205"/>
      <c r="C37" s="205"/>
      <c r="D37" s="205"/>
      <c r="E37" s="205"/>
    </row>
    <row r="38" spans="1:5" x14ac:dyDescent="0.2">
      <c r="A38" s="187" t="s">
        <v>175</v>
      </c>
      <c r="B38" s="201">
        <f>SUMPRODUCT(C4:J6,LongTermData!$C$9:$J$11)</f>
        <v>1.74356328</v>
      </c>
    </row>
    <row r="39" spans="1:5" x14ac:dyDescent="0.2">
      <c r="A39" s="187" t="s">
        <v>176</v>
      </c>
      <c r="B39" s="201">
        <f>SUMPRODUCT(C11:I18,LongTermData!$D$18:$J$25)</f>
        <v>9.3767857142857167</v>
      </c>
    </row>
    <row r="40" spans="1:5" x14ac:dyDescent="0.2">
      <c r="A40" s="187" t="s">
        <v>177</v>
      </c>
      <c r="B40" s="201">
        <f>SUMPRODUCT(N5:N10,LongTermData!D32:D37)+SUMPRODUCT(O5:O10,LongTermData!E32:E37)</f>
        <v>12.5</v>
      </c>
    </row>
    <row r="41" spans="1:5" ht="15.75" x14ac:dyDescent="0.25">
      <c r="A41" s="197" t="s">
        <v>178</v>
      </c>
      <c r="B41" s="200">
        <f>SUM(B38:B40)</f>
        <v>23.620348994285717</v>
      </c>
    </row>
  </sheetData>
  <mergeCells count="6">
    <mergeCell ref="A37:E37"/>
    <mergeCell ref="A1:H1"/>
    <mergeCell ref="A2:H2"/>
    <mergeCell ref="M3:O3"/>
    <mergeCell ref="A9:H9"/>
    <mergeCell ref="A23:H23"/>
  </mergeCells>
  <pageMargins left="0.75" right="0.75" top="1" bottom="1" header="0.5" footer="0.5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16CE-0D5C-4965-8D18-C4D5EB190875}">
  <dimension ref="A1:O41"/>
  <sheetViews>
    <sheetView zoomScale="50" zoomScaleNormal="50" workbookViewId="0">
      <selection activeCell="K27" sqref="K27"/>
    </sheetView>
  </sheetViews>
  <sheetFormatPr defaultRowHeight="12.75" x14ac:dyDescent="0.2"/>
  <cols>
    <col min="1" max="1" width="40.28515625" bestFit="1" customWidth="1"/>
    <col min="2" max="2" width="20.140625" bestFit="1" customWidth="1"/>
    <col min="3" max="3" width="30.140625" bestFit="1" customWidth="1"/>
    <col min="4" max="4" width="25.42578125" bestFit="1" customWidth="1"/>
    <col min="5" max="5" width="10.42578125" bestFit="1" customWidth="1"/>
    <col min="6" max="6" width="9.7109375" bestFit="1" customWidth="1"/>
    <col min="7" max="7" width="9" bestFit="1" customWidth="1"/>
    <col min="8" max="8" width="9.5703125" bestFit="1" customWidth="1"/>
    <col min="9" max="9" width="14.5703125" bestFit="1" customWidth="1"/>
    <col min="10" max="10" width="9.5703125" bestFit="1" customWidth="1"/>
    <col min="11" max="12" width="10.28515625" bestFit="1" customWidth="1"/>
    <col min="13" max="13" width="28.42578125" bestFit="1" customWidth="1"/>
    <col min="14" max="14" width="17" bestFit="1" customWidth="1"/>
    <col min="15" max="15" width="9" bestFit="1" customWidth="1"/>
  </cols>
  <sheetData>
    <row r="1" spans="1:15" x14ac:dyDescent="0.2">
      <c r="A1" s="204" t="s">
        <v>159</v>
      </c>
      <c r="B1" s="205"/>
      <c r="C1" s="205"/>
      <c r="D1" s="205"/>
      <c r="E1" s="205"/>
      <c r="F1" s="205"/>
      <c r="G1" s="205"/>
      <c r="H1" s="205"/>
    </row>
    <row r="2" spans="1:15" ht="18" customHeight="1" x14ac:dyDescent="0.2">
      <c r="A2" s="206" t="s">
        <v>160</v>
      </c>
      <c r="B2" s="205"/>
      <c r="C2" s="205"/>
      <c r="D2" s="205"/>
      <c r="E2" s="205"/>
      <c r="F2" s="205"/>
      <c r="G2" s="205"/>
      <c r="H2" s="205"/>
    </row>
    <row r="3" spans="1:15" ht="18" customHeight="1" x14ac:dyDescent="0.2">
      <c r="B3" s="188" t="s">
        <v>161</v>
      </c>
      <c r="C3" s="189" t="s">
        <v>95</v>
      </c>
      <c r="D3" s="189" t="s">
        <v>116</v>
      </c>
      <c r="E3" s="189" t="s">
        <v>96</v>
      </c>
      <c r="F3" s="189" t="s">
        <v>143</v>
      </c>
      <c r="G3" s="189" t="s">
        <v>144</v>
      </c>
      <c r="H3" s="189" t="s">
        <v>100</v>
      </c>
      <c r="I3" s="189" t="s">
        <v>145</v>
      </c>
      <c r="J3" s="189" t="s">
        <v>146</v>
      </c>
      <c r="L3" s="188" t="s">
        <v>162</v>
      </c>
      <c r="M3" s="207" t="s">
        <v>163</v>
      </c>
      <c r="N3" s="205"/>
      <c r="O3" s="205"/>
    </row>
    <row r="4" spans="1:15" ht="18" customHeight="1" x14ac:dyDescent="0.2">
      <c r="B4" s="190" t="s">
        <v>110</v>
      </c>
      <c r="C4" s="198">
        <v>19.199999999999996</v>
      </c>
      <c r="D4" s="198">
        <v>0</v>
      </c>
      <c r="E4" s="198">
        <v>0</v>
      </c>
      <c r="F4" s="198">
        <v>10.799999999999999</v>
      </c>
      <c r="G4" s="198">
        <v>0</v>
      </c>
      <c r="H4" s="198">
        <v>0</v>
      </c>
      <c r="I4" s="198">
        <v>0</v>
      </c>
      <c r="J4" s="198">
        <v>0</v>
      </c>
      <c r="L4" s="203">
        <f>SUM(C4:J4)</f>
        <v>29.999999999999993</v>
      </c>
      <c r="M4" s="192" t="s">
        <v>164</v>
      </c>
      <c r="N4" s="189" t="s">
        <v>157</v>
      </c>
      <c r="O4" s="189" t="s">
        <v>165</v>
      </c>
    </row>
    <row r="5" spans="1:15" ht="18" customHeight="1" x14ac:dyDescent="0.2">
      <c r="B5" s="190" t="s">
        <v>114</v>
      </c>
      <c r="C5" s="198">
        <v>0</v>
      </c>
      <c r="D5" s="198">
        <v>26.399999999999995</v>
      </c>
      <c r="E5" s="198">
        <v>0</v>
      </c>
      <c r="F5" s="198">
        <v>0</v>
      </c>
      <c r="G5" s="198">
        <v>6.6613381477509392E-15</v>
      </c>
      <c r="H5" s="198">
        <v>10.799999999999997</v>
      </c>
      <c r="I5" s="198">
        <v>0</v>
      </c>
      <c r="J5" s="198">
        <v>0</v>
      </c>
      <c r="L5" s="203">
        <f>SUM(C5:J5)</f>
        <v>37.200000000000003</v>
      </c>
      <c r="M5" s="192" t="s">
        <v>96</v>
      </c>
      <c r="N5" s="199">
        <v>1</v>
      </c>
      <c r="O5" s="199">
        <v>1</v>
      </c>
    </row>
    <row r="6" spans="1:15" ht="18" customHeight="1" x14ac:dyDescent="0.2">
      <c r="B6" s="190" t="s">
        <v>117</v>
      </c>
      <c r="C6" s="198">
        <v>5.3999999999999968</v>
      </c>
      <c r="D6" s="198">
        <v>0</v>
      </c>
      <c r="E6" s="198">
        <v>14.399999999999999</v>
      </c>
      <c r="F6" s="198">
        <v>0</v>
      </c>
      <c r="G6" s="198">
        <v>0</v>
      </c>
      <c r="H6" s="198">
        <v>0</v>
      </c>
      <c r="I6" s="198">
        <v>3.774758283725533E-15</v>
      </c>
      <c r="J6" s="198">
        <v>0</v>
      </c>
      <c r="L6" s="203">
        <f>SUM(C6:J6)</f>
        <v>19.8</v>
      </c>
      <c r="M6" s="192" t="s">
        <v>143</v>
      </c>
      <c r="N6" s="199">
        <v>1</v>
      </c>
      <c r="O6" s="199">
        <v>0</v>
      </c>
    </row>
    <row r="7" spans="1:15" ht="18" customHeight="1" x14ac:dyDescent="0.2">
      <c r="M7" s="193" t="s">
        <v>144</v>
      </c>
      <c r="N7" s="199">
        <v>0</v>
      </c>
      <c r="O7" s="199">
        <v>0</v>
      </c>
    </row>
    <row r="8" spans="1:15" ht="18" customHeight="1" x14ac:dyDescent="0.2">
      <c r="M8" s="193" t="s">
        <v>100</v>
      </c>
      <c r="N8" s="199">
        <v>1</v>
      </c>
      <c r="O8" s="199">
        <v>0</v>
      </c>
    </row>
    <row r="9" spans="1:15" ht="18" customHeight="1" x14ac:dyDescent="0.2">
      <c r="A9" s="206" t="s">
        <v>166</v>
      </c>
      <c r="B9" s="205"/>
      <c r="C9" s="205"/>
      <c r="D9" s="205"/>
      <c r="E9" s="205"/>
      <c r="F9" s="205"/>
      <c r="G9" s="205"/>
      <c r="H9" s="205"/>
      <c r="M9" s="193" t="s">
        <v>145</v>
      </c>
      <c r="N9" s="199">
        <v>0</v>
      </c>
      <c r="O9" s="199">
        <v>0</v>
      </c>
    </row>
    <row r="10" spans="1:15" ht="18" customHeight="1" x14ac:dyDescent="0.2">
      <c r="B10" s="188" t="s">
        <v>161</v>
      </c>
      <c r="C10" s="189" t="s">
        <v>95</v>
      </c>
      <c r="D10" s="189" t="s">
        <v>96</v>
      </c>
      <c r="E10" s="189" t="s">
        <v>97</v>
      </c>
      <c r="F10" s="189" t="s">
        <v>98</v>
      </c>
      <c r="G10" s="189" t="s">
        <v>99</v>
      </c>
      <c r="H10" s="189" t="s">
        <v>100</v>
      </c>
      <c r="I10" s="189" t="s">
        <v>127</v>
      </c>
      <c r="K10" s="188" t="s">
        <v>162</v>
      </c>
      <c r="M10" s="193" t="s">
        <v>146</v>
      </c>
      <c r="N10" s="199">
        <v>0</v>
      </c>
      <c r="O10" s="199">
        <v>0</v>
      </c>
    </row>
    <row r="11" spans="1:15" ht="18" customHeight="1" x14ac:dyDescent="0.2">
      <c r="B11" s="190" t="s">
        <v>95</v>
      </c>
      <c r="C11" s="198">
        <v>150</v>
      </c>
      <c r="D11" s="198">
        <v>19.999999999999957</v>
      </c>
      <c r="E11" s="198">
        <v>0</v>
      </c>
      <c r="F11" s="198">
        <v>34.999999999999936</v>
      </c>
      <c r="G11" s="198">
        <v>0</v>
      </c>
      <c r="H11" s="198">
        <v>0</v>
      </c>
      <c r="I11" s="198">
        <v>0</v>
      </c>
      <c r="K11" s="203">
        <f t="shared" ref="K11:K18" si="0">SUM(C11:I11)</f>
        <v>204.99999999999989</v>
      </c>
    </row>
    <row r="12" spans="1:15" x14ac:dyDescent="0.2">
      <c r="B12" s="190" t="s">
        <v>116</v>
      </c>
      <c r="C12" s="198">
        <v>0</v>
      </c>
      <c r="D12" s="198">
        <v>0</v>
      </c>
      <c r="E12" s="198">
        <v>80.000000000000014</v>
      </c>
      <c r="F12" s="198">
        <v>0</v>
      </c>
      <c r="G12" s="198">
        <v>140</v>
      </c>
      <c r="H12" s="198">
        <v>0</v>
      </c>
      <c r="I12" s="198">
        <v>0</v>
      </c>
      <c r="K12" s="203">
        <f t="shared" si="0"/>
        <v>220</v>
      </c>
      <c r="M12" s="30" t="s">
        <v>103</v>
      </c>
    </row>
    <row r="13" spans="1:15" ht="13.5" thickBot="1" x14ac:dyDescent="0.25">
      <c r="B13" s="190" t="s">
        <v>96</v>
      </c>
      <c r="C13" s="198">
        <v>0</v>
      </c>
      <c r="D13" s="198">
        <v>89.999999999999986</v>
      </c>
      <c r="E13" s="198">
        <v>0</v>
      </c>
      <c r="F13" s="198">
        <v>0</v>
      </c>
      <c r="G13" s="198">
        <v>0</v>
      </c>
      <c r="H13" s="198">
        <v>0</v>
      </c>
      <c r="I13" s="198">
        <v>30.000000000000014</v>
      </c>
      <c r="K13" s="203">
        <f t="shared" si="0"/>
        <v>120</v>
      </c>
    </row>
    <row r="14" spans="1:15" ht="13.5" thickTop="1" x14ac:dyDescent="0.2">
      <c r="B14" s="190" t="s">
        <v>143</v>
      </c>
      <c r="C14" s="198">
        <v>0</v>
      </c>
      <c r="D14" s="198">
        <v>0</v>
      </c>
      <c r="E14" s="198">
        <v>19.999999999999929</v>
      </c>
      <c r="F14" s="198">
        <v>70.000000000000071</v>
      </c>
      <c r="G14" s="198">
        <v>0</v>
      </c>
      <c r="H14" s="198">
        <v>0</v>
      </c>
      <c r="I14" s="198">
        <v>0</v>
      </c>
      <c r="K14" s="203">
        <f t="shared" si="0"/>
        <v>90</v>
      </c>
      <c r="M14" s="17" t="s">
        <v>105</v>
      </c>
      <c r="N14" s="32"/>
    </row>
    <row r="15" spans="1:15" x14ac:dyDescent="0.2">
      <c r="B15" s="190" t="s">
        <v>144</v>
      </c>
      <c r="C15" s="198">
        <v>0</v>
      </c>
      <c r="D15" s="198">
        <v>0</v>
      </c>
      <c r="E15" s="198">
        <v>6.3948846218409017E-14</v>
      </c>
      <c r="F15" s="198">
        <v>0</v>
      </c>
      <c r="G15" s="198">
        <v>0</v>
      </c>
      <c r="H15" s="198">
        <v>0</v>
      </c>
      <c r="I15" s="198">
        <v>0</v>
      </c>
      <c r="K15" s="203">
        <f t="shared" si="0"/>
        <v>6.3948846218409017E-14</v>
      </c>
      <c r="M15" s="40"/>
      <c r="N15" s="38" t="s">
        <v>108</v>
      </c>
    </row>
    <row r="16" spans="1:15" x14ac:dyDescent="0.2">
      <c r="B16" s="190" t="s">
        <v>100</v>
      </c>
      <c r="C16" s="198">
        <v>0</v>
      </c>
      <c r="D16" s="198">
        <v>0</v>
      </c>
      <c r="E16" s="198">
        <v>0</v>
      </c>
      <c r="F16" s="198">
        <v>0</v>
      </c>
      <c r="G16" s="198">
        <v>0</v>
      </c>
      <c r="H16" s="198">
        <v>90</v>
      </c>
      <c r="I16" s="198">
        <v>0</v>
      </c>
      <c r="K16" s="203">
        <f t="shared" si="0"/>
        <v>90</v>
      </c>
      <c r="M16" s="22" t="s">
        <v>110</v>
      </c>
      <c r="N16" s="85">
        <v>30</v>
      </c>
    </row>
    <row r="17" spans="1:14" x14ac:dyDescent="0.2">
      <c r="B17" s="190" t="s">
        <v>145</v>
      </c>
      <c r="C17" s="198">
        <v>0</v>
      </c>
      <c r="D17" s="198">
        <v>0</v>
      </c>
      <c r="E17" s="198">
        <v>0</v>
      </c>
      <c r="F17" s="198">
        <v>0</v>
      </c>
      <c r="G17" s="198">
        <v>0</v>
      </c>
      <c r="H17" s="198">
        <v>0</v>
      </c>
      <c r="I17" s="198">
        <v>0</v>
      </c>
      <c r="K17" s="203">
        <f t="shared" si="0"/>
        <v>0</v>
      </c>
      <c r="M17" s="22" t="s">
        <v>114</v>
      </c>
      <c r="N17" s="86">
        <v>68</v>
      </c>
    </row>
    <row r="18" spans="1:14" ht="13.5" thickBot="1" x14ac:dyDescent="0.25">
      <c r="B18" s="190" t="s">
        <v>146</v>
      </c>
      <c r="C18" s="198">
        <v>0</v>
      </c>
      <c r="D18" s="198">
        <v>0</v>
      </c>
      <c r="E18" s="198">
        <v>0</v>
      </c>
      <c r="F18" s="198">
        <v>0</v>
      </c>
      <c r="G18" s="198">
        <v>0</v>
      </c>
      <c r="H18" s="198">
        <v>0</v>
      </c>
      <c r="I18" s="198">
        <v>0</v>
      </c>
      <c r="K18" s="203">
        <f t="shared" si="0"/>
        <v>0</v>
      </c>
      <c r="M18" s="23" t="s">
        <v>117</v>
      </c>
      <c r="N18" s="81">
        <v>20</v>
      </c>
    </row>
    <row r="19" spans="1:14" ht="13.5" thickTop="1" x14ac:dyDescent="0.2"/>
    <row r="20" spans="1:14" ht="25.5" x14ac:dyDescent="0.2">
      <c r="B20" s="194" t="s">
        <v>167</v>
      </c>
      <c r="C20" s="203">
        <f t="shared" ref="C20:I20" si="1">SUM(C11:C18)</f>
        <v>150</v>
      </c>
      <c r="D20" s="203">
        <f t="shared" si="1"/>
        <v>109.99999999999994</v>
      </c>
      <c r="E20" s="203">
        <f t="shared" si="1"/>
        <v>100</v>
      </c>
      <c r="F20" s="203">
        <f t="shared" si="1"/>
        <v>105</v>
      </c>
      <c r="G20" s="203">
        <f t="shared" si="1"/>
        <v>140</v>
      </c>
      <c r="H20" s="203">
        <f t="shared" si="1"/>
        <v>90</v>
      </c>
      <c r="I20" s="203">
        <f t="shared" si="1"/>
        <v>30.000000000000014</v>
      </c>
    </row>
    <row r="21" spans="1:14" x14ac:dyDescent="0.2">
      <c r="B21" s="194" t="s">
        <v>93</v>
      </c>
      <c r="C21" s="202">
        <f>LongTermData!$M$26</f>
        <v>150</v>
      </c>
      <c r="D21" s="202">
        <f>LongTermData!$M$27</f>
        <v>110</v>
      </c>
      <c r="E21" s="202">
        <f>LongTermData!$M$28</f>
        <v>100</v>
      </c>
      <c r="F21" s="202">
        <f>LongTermData!$M$29</f>
        <v>105</v>
      </c>
      <c r="G21" s="202">
        <f>LongTermData!$M$30</f>
        <v>140</v>
      </c>
      <c r="H21" s="202">
        <f>LongTermData!$M$31</f>
        <v>90</v>
      </c>
      <c r="I21" s="202">
        <f>LongTermData!$M$32</f>
        <v>30</v>
      </c>
    </row>
    <row r="23" spans="1:14" x14ac:dyDescent="0.2">
      <c r="A23" s="204" t="s">
        <v>168</v>
      </c>
      <c r="B23" s="205"/>
      <c r="C23" s="205"/>
      <c r="D23" s="205"/>
      <c r="E23" s="205"/>
      <c r="F23" s="205"/>
      <c r="G23" s="205"/>
      <c r="H23" s="205"/>
    </row>
    <row r="24" spans="1:14" x14ac:dyDescent="0.2">
      <c r="A24" s="187" t="s">
        <v>169</v>
      </c>
      <c r="D24" s="195">
        <f>LongTermData!$M$17</f>
        <v>8.3333333333333339</v>
      </c>
    </row>
    <row r="26" spans="1:14" x14ac:dyDescent="0.2">
      <c r="A26" s="193" t="s">
        <v>170</v>
      </c>
      <c r="B26" s="193" t="s">
        <v>171</v>
      </c>
      <c r="C26" s="193" t="s">
        <v>172</v>
      </c>
      <c r="D26" s="193" t="s">
        <v>173</v>
      </c>
      <c r="E26" s="193" t="s">
        <v>131</v>
      </c>
    </row>
    <row r="27" spans="1:14" x14ac:dyDescent="0.2">
      <c r="A27" s="196" t="s">
        <v>95</v>
      </c>
      <c r="B27" s="191">
        <f>SUM(C4:C6)</f>
        <v>24.599999999999994</v>
      </c>
      <c r="C27" s="191">
        <f t="shared" ref="C27:C34" si="2">$D$24*B27</f>
        <v>204.99999999999997</v>
      </c>
      <c r="D27" s="191">
        <f t="shared" ref="D27:D34" si="3">K11</f>
        <v>204.99999999999989</v>
      </c>
      <c r="E27" s="191">
        <f>LongTermData!$S$8</f>
        <v>250</v>
      </c>
    </row>
    <row r="28" spans="1:14" x14ac:dyDescent="0.2">
      <c r="A28" s="196" t="s">
        <v>116</v>
      </c>
      <c r="B28" s="191">
        <f>SUM(D4:D6)</f>
        <v>26.399999999999995</v>
      </c>
      <c r="C28" s="191">
        <f t="shared" si="2"/>
        <v>219.99999999999997</v>
      </c>
      <c r="D28" s="191">
        <f t="shared" si="3"/>
        <v>220</v>
      </c>
      <c r="E28" s="191">
        <f>LongTermData!$S$9</f>
        <v>220</v>
      </c>
    </row>
    <row r="29" spans="1:14" x14ac:dyDescent="0.2">
      <c r="A29" s="196" t="s">
        <v>96</v>
      </c>
      <c r="B29" s="191">
        <f>SUM(E4:E6)</f>
        <v>14.399999999999999</v>
      </c>
      <c r="C29" s="191">
        <f t="shared" si="2"/>
        <v>120</v>
      </c>
      <c r="D29" s="191">
        <f t="shared" si="3"/>
        <v>120</v>
      </c>
      <c r="E29" s="191">
        <f>(LongTermData!$S$11*N5)+(LongTermData!$T$11*O5)</f>
        <v>120</v>
      </c>
    </row>
    <row r="30" spans="1:14" x14ac:dyDescent="0.2">
      <c r="A30" s="196" t="s">
        <v>143</v>
      </c>
      <c r="B30" s="191">
        <f>SUM(F4:F6)</f>
        <v>10.799999999999999</v>
      </c>
      <c r="C30" s="191">
        <f t="shared" si="2"/>
        <v>90</v>
      </c>
      <c r="D30" s="191">
        <f t="shared" si="3"/>
        <v>90</v>
      </c>
      <c r="E30" s="191">
        <f>(LongTermData!$S$12*N6)+(LongTermData!$T$12*O6)</f>
        <v>90</v>
      </c>
    </row>
    <row r="31" spans="1:14" x14ac:dyDescent="0.2">
      <c r="A31" s="196" t="s">
        <v>144</v>
      </c>
      <c r="B31" s="191">
        <f>SUM(G4:G6)</f>
        <v>6.6613381477509392E-15</v>
      </c>
      <c r="C31" s="191">
        <f t="shared" si="2"/>
        <v>5.5511151231257833E-14</v>
      </c>
      <c r="D31" s="191">
        <f t="shared" si="3"/>
        <v>6.3948846218409017E-14</v>
      </c>
      <c r="E31" s="191">
        <f>(LongTermData!$S$13*N7)+(LongTermData!$T$13*O7)</f>
        <v>0</v>
      </c>
    </row>
    <row r="32" spans="1:14" x14ac:dyDescent="0.2">
      <c r="A32" s="196" t="s">
        <v>100</v>
      </c>
      <c r="B32" s="191">
        <f>SUM(H4:H6)</f>
        <v>10.799999999999997</v>
      </c>
      <c r="C32" s="191">
        <f t="shared" si="2"/>
        <v>89.999999999999986</v>
      </c>
      <c r="D32" s="191">
        <f t="shared" si="3"/>
        <v>90</v>
      </c>
      <c r="E32" s="191">
        <f>(LongTermData!$S$14*N8)+(LongTermData!$T$14*O8)</f>
        <v>90</v>
      </c>
    </row>
    <row r="33" spans="1:5" x14ac:dyDescent="0.2">
      <c r="A33" s="196" t="s">
        <v>145</v>
      </c>
      <c r="B33" s="191">
        <f>SUM(I4:I6)</f>
        <v>3.774758283725533E-15</v>
      </c>
      <c r="C33" s="191">
        <f t="shared" si="2"/>
        <v>3.1456319031046112E-14</v>
      </c>
      <c r="D33" s="191">
        <f t="shared" si="3"/>
        <v>0</v>
      </c>
      <c r="E33" s="191">
        <f>(LongTermData!$S$15*N9)+(LongTermData!$T$15*O9)</f>
        <v>0</v>
      </c>
    </row>
    <row r="34" spans="1:5" x14ac:dyDescent="0.2">
      <c r="A34" s="196" t="s">
        <v>146</v>
      </c>
      <c r="B34" s="191">
        <f>SUM(J4:J6)</f>
        <v>0</v>
      </c>
      <c r="C34" s="191">
        <f t="shared" si="2"/>
        <v>0</v>
      </c>
      <c r="D34" s="191">
        <f t="shared" si="3"/>
        <v>0</v>
      </c>
      <c r="E34" s="191">
        <f>(LongTermData!$S$16*N10)+(LongTermData!$T$16*O10)</f>
        <v>0</v>
      </c>
    </row>
    <row r="37" spans="1:5" x14ac:dyDescent="0.2">
      <c r="A37" s="206" t="s">
        <v>174</v>
      </c>
      <c r="B37" s="205"/>
      <c r="C37" s="205"/>
      <c r="D37" s="205"/>
      <c r="E37" s="205"/>
    </row>
    <row r="38" spans="1:5" x14ac:dyDescent="0.2">
      <c r="A38" s="187" t="s">
        <v>175</v>
      </c>
      <c r="B38" s="201">
        <f>SUMPRODUCT(C4:J6,LongTermData!$C$9:$J$11)</f>
        <v>1.7435632800000003</v>
      </c>
    </row>
    <row r="39" spans="1:5" x14ac:dyDescent="0.2">
      <c r="A39" s="187" t="s">
        <v>176</v>
      </c>
      <c r="B39" s="201">
        <f>SUMPRODUCT(C11:I18,LongTermData!$D$18:$J$25)</f>
        <v>9.3767857142857132</v>
      </c>
    </row>
    <row r="40" spans="1:5" x14ac:dyDescent="0.2">
      <c r="A40" s="187" t="s">
        <v>177</v>
      </c>
      <c r="B40" s="201">
        <f>SUMPRODUCT(N5:N10,LongTermData!D32:D37)+SUMPRODUCT(O5:O10,LongTermData!E32:E37)</f>
        <v>12.5</v>
      </c>
    </row>
    <row r="41" spans="1:5" ht="15.75" x14ac:dyDescent="0.25">
      <c r="A41" s="197" t="s">
        <v>178</v>
      </c>
      <c r="B41" s="200">
        <f>SUM(B38:B40)</f>
        <v>23.620348994285713</v>
      </c>
    </row>
  </sheetData>
  <mergeCells count="6">
    <mergeCell ref="A37:E37"/>
    <mergeCell ref="A1:H1"/>
    <mergeCell ref="A2:H2"/>
    <mergeCell ref="M3:O3"/>
    <mergeCell ref="A9:H9"/>
    <mergeCell ref="A23:H23"/>
  </mergeCells>
  <pageMargins left="0.75" right="0.75" top="1" bottom="1" header="0.5" footer="0.5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93889-616F-49E1-B8EE-BBF57DEACE1B}">
  <dimension ref="A1:O41"/>
  <sheetViews>
    <sheetView zoomScale="70" zoomScaleNormal="70" workbookViewId="0">
      <selection activeCell="K27" sqref="K27"/>
    </sheetView>
  </sheetViews>
  <sheetFormatPr defaultRowHeight="12.75" x14ac:dyDescent="0.2"/>
  <cols>
    <col min="1" max="1" width="40.28515625" bestFit="1" customWidth="1"/>
    <col min="2" max="2" width="20.140625" bestFit="1" customWidth="1"/>
    <col min="3" max="3" width="30.140625" bestFit="1" customWidth="1"/>
    <col min="4" max="4" width="25.42578125" bestFit="1" customWidth="1"/>
    <col min="5" max="5" width="10.42578125" bestFit="1" customWidth="1"/>
    <col min="6" max="6" width="9.7109375" bestFit="1" customWidth="1"/>
    <col min="7" max="7" width="9" bestFit="1" customWidth="1"/>
    <col min="8" max="8" width="9.5703125" bestFit="1" customWidth="1"/>
    <col min="9" max="9" width="14.5703125" bestFit="1" customWidth="1"/>
    <col min="10" max="10" width="9.5703125" bestFit="1" customWidth="1"/>
    <col min="11" max="12" width="10.28515625" bestFit="1" customWidth="1"/>
    <col min="13" max="13" width="28.42578125" bestFit="1" customWidth="1"/>
    <col min="14" max="14" width="17" bestFit="1" customWidth="1"/>
    <col min="15" max="15" width="9" bestFit="1" customWidth="1"/>
  </cols>
  <sheetData>
    <row r="1" spans="1:15" x14ac:dyDescent="0.2">
      <c r="A1" s="204" t="s">
        <v>159</v>
      </c>
      <c r="B1" s="205"/>
      <c r="C1" s="205"/>
      <c r="D1" s="205"/>
      <c r="E1" s="205"/>
      <c r="F1" s="205"/>
      <c r="G1" s="205"/>
      <c r="H1" s="205"/>
    </row>
    <row r="2" spans="1:15" ht="18" customHeight="1" x14ac:dyDescent="0.2">
      <c r="A2" s="206" t="s">
        <v>160</v>
      </c>
      <c r="B2" s="205"/>
      <c r="C2" s="205"/>
      <c r="D2" s="205"/>
      <c r="E2" s="205"/>
      <c r="F2" s="205"/>
      <c r="G2" s="205"/>
      <c r="H2" s="205"/>
    </row>
    <row r="3" spans="1:15" ht="18" customHeight="1" x14ac:dyDescent="0.2">
      <c r="B3" s="188" t="s">
        <v>161</v>
      </c>
      <c r="C3" s="189" t="s">
        <v>95</v>
      </c>
      <c r="D3" s="189" t="s">
        <v>116</v>
      </c>
      <c r="E3" s="189" t="s">
        <v>96</v>
      </c>
      <c r="F3" s="189" t="s">
        <v>143</v>
      </c>
      <c r="G3" s="189" t="s">
        <v>144</v>
      </c>
      <c r="H3" s="189" t="s">
        <v>100</v>
      </c>
      <c r="I3" s="189" t="s">
        <v>145</v>
      </c>
      <c r="J3" s="189" t="s">
        <v>146</v>
      </c>
      <c r="L3" s="188" t="s">
        <v>162</v>
      </c>
      <c r="M3" s="207" t="s">
        <v>163</v>
      </c>
      <c r="N3" s="205"/>
      <c r="O3" s="205"/>
    </row>
    <row r="4" spans="1:15" ht="18" customHeight="1" x14ac:dyDescent="0.2">
      <c r="B4" s="190" t="s">
        <v>110</v>
      </c>
      <c r="C4" s="198">
        <v>30.000000000000139</v>
      </c>
      <c r="D4" s="198">
        <v>0</v>
      </c>
      <c r="E4" s="198">
        <v>0</v>
      </c>
      <c r="F4" s="198">
        <v>0</v>
      </c>
      <c r="G4" s="198">
        <v>0</v>
      </c>
      <c r="H4" s="198">
        <v>0</v>
      </c>
      <c r="I4" s="198">
        <v>0</v>
      </c>
      <c r="J4" s="198">
        <v>0</v>
      </c>
      <c r="L4" s="203">
        <f>SUM(C4:J4)</f>
        <v>30.000000000000139</v>
      </c>
      <c r="M4" s="192" t="s">
        <v>164</v>
      </c>
      <c r="N4" s="189" t="s">
        <v>157</v>
      </c>
      <c r="O4" s="189" t="s">
        <v>165</v>
      </c>
    </row>
    <row r="5" spans="1:15" ht="18" customHeight="1" x14ac:dyDescent="0.2">
      <c r="B5" s="190" t="s">
        <v>114</v>
      </c>
      <c r="C5" s="198">
        <v>0</v>
      </c>
      <c r="D5" s="198">
        <v>26.400000000000013</v>
      </c>
      <c r="E5" s="198">
        <v>0</v>
      </c>
      <c r="F5" s="198">
        <v>0</v>
      </c>
      <c r="G5" s="198">
        <v>0</v>
      </c>
      <c r="H5" s="198">
        <v>10.800000000000011</v>
      </c>
      <c r="I5" s="198">
        <v>0</v>
      </c>
      <c r="J5" s="198">
        <v>9.0000000000002665</v>
      </c>
      <c r="L5" s="203">
        <f>SUM(C5:J5)</f>
        <v>46.200000000000287</v>
      </c>
      <c r="M5" s="192" t="s">
        <v>96</v>
      </c>
      <c r="N5" s="199">
        <v>1</v>
      </c>
      <c r="O5" s="199">
        <v>0</v>
      </c>
    </row>
    <row r="6" spans="1:15" ht="18" customHeight="1" x14ac:dyDescent="0.2">
      <c r="B6" s="190" t="s">
        <v>117</v>
      </c>
      <c r="C6" s="198">
        <v>0</v>
      </c>
      <c r="D6" s="198">
        <v>0</v>
      </c>
      <c r="E6" s="198">
        <v>10.799999999999997</v>
      </c>
      <c r="F6" s="198">
        <v>0</v>
      </c>
      <c r="G6" s="198">
        <v>0</v>
      </c>
      <c r="H6" s="198">
        <v>0</v>
      </c>
      <c r="I6" s="198">
        <v>0</v>
      </c>
      <c r="J6" s="198">
        <v>0</v>
      </c>
      <c r="L6" s="203">
        <f>SUM(C6:J6)</f>
        <v>10.799999999999997</v>
      </c>
      <c r="M6" s="192" t="s">
        <v>143</v>
      </c>
      <c r="N6" s="199">
        <v>0</v>
      </c>
      <c r="O6" s="199">
        <v>0</v>
      </c>
    </row>
    <row r="7" spans="1:15" ht="18" customHeight="1" x14ac:dyDescent="0.2">
      <c r="M7" s="193" t="s">
        <v>144</v>
      </c>
      <c r="N7" s="199">
        <v>0</v>
      </c>
      <c r="O7" s="199">
        <v>0</v>
      </c>
    </row>
    <row r="8" spans="1:15" ht="18" customHeight="1" x14ac:dyDescent="0.2">
      <c r="M8" s="193" t="s">
        <v>100</v>
      </c>
      <c r="N8" s="199">
        <v>1</v>
      </c>
      <c r="O8" s="199">
        <v>0</v>
      </c>
    </row>
    <row r="9" spans="1:15" ht="18" customHeight="1" x14ac:dyDescent="0.2">
      <c r="A9" s="206" t="s">
        <v>166</v>
      </c>
      <c r="B9" s="205"/>
      <c r="C9" s="205"/>
      <c r="D9" s="205"/>
      <c r="E9" s="205"/>
      <c r="F9" s="205"/>
      <c r="G9" s="205"/>
      <c r="H9" s="205"/>
      <c r="M9" s="193" t="s">
        <v>145</v>
      </c>
      <c r="N9" s="199">
        <v>0</v>
      </c>
      <c r="O9" s="199">
        <v>0</v>
      </c>
    </row>
    <row r="10" spans="1:15" ht="18" customHeight="1" x14ac:dyDescent="0.2">
      <c r="B10" s="188" t="s">
        <v>161</v>
      </c>
      <c r="C10" s="189" t="s">
        <v>95</v>
      </c>
      <c r="D10" s="189" t="s">
        <v>96</v>
      </c>
      <c r="E10" s="189" t="s">
        <v>97</v>
      </c>
      <c r="F10" s="189" t="s">
        <v>98</v>
      </c>
      <c r="G10" s="189" t="s">
        <v>99</v>
      </c>
      <c r="H10" s="189" t="s">
        <v>100</v>
      </c>
      <c r="I10" s="189" t="s">
        <v>127</v>
      </c>
      <c r="K10" s="188" t="s">
        <v>162</v>
      </c>
      <c r="M10" s="193" t="s">
        <v>146</v>
      </c>
      <c r="N10" s="199">
        <v>1</v>
      </c>
      <c r="O10" s="199">
        <v>0</v>
      </c>
    </row>
    <row r="11" spans="1:15" ht="18" customHeight="1" x14ac:dyDescent="0.2">
      <c r="B11" s="190" t="s">
        <v>95</v>
      </c>
      <c r="C11" s="198">
        <v>150.00000000000009</v>
      </c>
      <c r="D11" s="198">
        <v>0</v>
      </c>
      <c r="E11" s="198">
        <v>0</v>
      </c>
      <c r="F11" s="198">
        <v>99.999999999999943</v>
      </c>
      <c r="G11" s="198">
        <v>0</v>
      </c>
      <c r="H11" s="198">
        <v>0</v>
      </c>
      <c r="I11" s="198">
        <v>0</v>
      </c>
      <c r="K11" s="203">
        <f t="shared" ref="K11:K18" si="0">SUM(C11:I11)</f>
        <v>250.00000000000003</v>
      </c>
    </row>
    <row r="12" spans="1:15" x14ac:dyDescent="0.2">
      <c r="B12" s="190" t="s">
        <v>116</v>
      </c>
      <c r="C12" s="198">
        <v>0</v>
      </c>
      <c r="D12" s="198">
        <v>0</v>
      </c>
      <c r="E12" s="198">
        <v>100.00000000000003</v>
      </c>
      <c r="F12" s="198">
        <v>0</v>
      </c>
      <c r="G12" s="198">
        <v>120</v>
      </c>
      <c r="H12" s="198">
        <v>0</v>
      </c>
      <c r="I12" s="198">
        <v>0</v>
      </c>
      <c r="K12" s="203">
        <f t="shared" si="0"/>
        <v>220.00000000000003</v>
      </c>
      <c r="M12" s="30" t="s">
        <v>103</v>
      </c>
    </row>
    <row r="13" spans="1:15" ht="13.5" thickBot="1" x14ac:dyDescent="0.25">
      <c r="B13" s="190" t="s">
        <v>96</v>
      </c>
      <c r="C13" s="198">
        <v>0</v>
      </c>
      <c r="D13" s="198">
        <v>60</v>
      </c>
      <c r="E13" s="198">
        <v>0</v>
      </c>
      <c r="F13" s="198">
        <v>0</v>
      </c>
      <c r="G13" s="198">
        <v>0</v>
      </c>
      <c r="H13" s="198">
        <v>0</v>
      </c>
      <c r="I13" s="198">
        <v>30</v>
      </c>
      <c r="K13" s="203">
        <f t="shared" si="0"/>
        <v>90</v>
      </c>
    </row>
    <row r="14" spans="1:15" ht="13.5" thickTop="1" x14ac:dyDescent="0.2">
      <c r="B14" s="190" t="s">
        <v>143</v>
      </c>
      <c r="C14" s="198">
        <v>0</v>
      </c>
      <c r="D14" s="198">
        <v>0</v>
      </c>
      <c r="E14" s="198">
        <v>0</v>
      </c>
      <c r="F14" s="198">
        <v>0</v>
      </c>
      <c r="G14" s="198">
        <v>0</v>
      </c>
      <c r="H14" s="198">
        <v>0</v>
      </c>
      <c r="I14" s="198">
        <v>0</v>
      </c>
      <c r="K14" s="203">
        <f t="shared" si="0"/>
        <v>0</v>
      </c>
      <c r="M14" s="17" t="s">
        <v>105</v>
      </c>
      <c r="N14" s="32"/>
    </row>
    <row r="15" spans="1:15" x14ac:dyDescent="0.2">
      <c r="B15" s="190" t="s">
        <v>144</v>
      </c>
      <c r="C15" s="198">
        <v>0</v>
      </c>
      <c r="D15" s="198">
        <v>0</v>
      </c>
      <c r="E15" s="198">
        <v>0</v>
      </c>
      <c r="F15" s="198">
        <v>0</v>
      </c>
      <c r="G15" s="198">
        <v>0</v>
      </c>
      <c r="H15" s="198">
        <v>0</v>
      </c>
      <c r="I15" s="198">
        <v>0</v>
      </c>
      <c r="K15" s="203">
        <f t="shared" si="0"/>
        <v>0</v>
      </c>
      <c r="M15" s="40"/>
      <c r="N15" s="38" t="s">
        <v>108</v>
      </c>
    </row>
    <row r="16" spans="1:15" x14ac:dyDescent="0.2">
      <c r="B16" s="190" t="s">
        <v>100</v>
      </c>
      <c r="C16" s="198">
        <v>0</v>
      </c>
      <c r="D16" s="198">
        <v>0</v>
      </c>
      <c r="E16" s="198">
        <v>0</v>
      </c>
      <c r="F16" s="198">
        <v>0</v>
      </c>
      <c r="G16" s="198">
        <v>0</v>
      </c>
      <c r="H16" s="198">
        <v>90.000000000000099</v>
      </c>
      <c r="I16" s="198">
        <v>0</v>
      </c>
      <c r="K16" s="203">
        <f t="shared" si="0"/>
        <v>90.000000000000099</v>
      </c>
      <c r="M16" s="22" t="s">
        <v>110</v>
      </c>
      <c r="N16" s="85">
        <v>30</v>
      </c>
    </row>
    <row r="17" spans="1:14" x14ac:dyDescent="0.2">
      <c r="B17" s="190" t="s">
        <v>145</v>
      </c>
      <c r="C17" s="198">
        <v>0</v>
      </c>
      <c r="D17" s="198">
        <v>0</v>
      </c>
      <c r="E17" s="198">
        <v>0</v>
      </c>
      <c r="F17" s="198">
        <v>0</v>
      </c>
      <c r="G17" s="198">
        <v>0</v>
      </c>
      <c r="H17" s="198">
        <v>0</v>
      </c>
      <c r="I17" s="198">
        <v>0</v>
      </c>
      <c r="K17" s="203">
        <f t="shared" si="0"/>
        <v>0</v>
      </c>
      <c r="M17" s="22" t="s">
        <v>114</v>
      </c>
      <c r="N17" s="86">
        <v>68</v>
      </c>
    </row>
    <row r="18" spans="1:14" ht="13.5" thickBot="1" x14ac:dyDescent="0.25">
      <c r="B18" s="190" t="s">
        <v>146</v>
      </c>
      <c r="C18" s="198">
        <v>0</v>
      </c>
      <c r="D18" s="198">
        <v>49.999999999999915</v>
      </c>
      <c r="E18" s="198">
        <v>0</v>
      </c>
      <c r="F18" s="198">
        <v>5.0000000000023501</v>
      </c>
      <c r="G18" s="198">
        <v>19.999999999999986</v>
      </c>
      <c r="H18" s="198">
        <v>0</v>
      </c>
      <c r="I18" s="198">
        <v>0</v>
      </c>
      <c r="K18" s="203">
        <f t="shared" si="0"/>
        <v>75.000000000002245</v>
      </c>
      <c r="M18" s="23" t="s">
        <v>117</v>
      </c>
      <c r="N18" s="81">
        <v>20</v>
      </c>
    </row>
    <row r="19" spans="1:14" ht="13.5" thickTop="1" x14ac:dyDescent="0.2"/>
    <row r="20" spans="1:14" ht="25.5" x14ac:dyDescent="0.2">
      <c r="B20" s="194" t="s">
        <v>167</v>
      </c>
      <c r="C20" s="203">
        <f t="shared" ref="C20:I20" si="1">SUM(C11:C18)</f>
        <v>150.00000000000009</v>
      </c>
      <c r="D20" s="203">
        <f t="shared" si="1"/>
        <v>109.99999999999991</v>
      </c>
      <c r="E20" s="203">
        <f t="shared" si="1"/>
        <v>100.00000000000003</v>
      </c>
      <c r="F20" s="203">
        <f t="shared" si="1"/>
        <v>105.00000000000229</v>
      </c>
      <c r="G20" s="203">
        <f t="shared" si="1"/>
        <v>140</v>
      </c>
      <c r="H20" s="203">
        <f t="shared" si="1"/>
        <v>90.000000000000099</v>
      </c>
      <c r="I20" s="203">
        <f t="shared" si="1"/>
        <v>30</v>
      </c>
    </row>
    <row r="21" spans="1:14" x14ac:dyDescent="0.2">
      <c r="B21" s="194" t="s">
        <v>93</v>
      </c>
      <c r="C21" s="202">
        <f>LongTermData!$M$26</f>
        <v>150</v>
      </c>
      <c r="D21" s="202">
        <f>LongTermData!$M$27</f>
        <v>110</v>
      </c>
      <c r="E21" s="202">
        <f>LongTermData!$M$28</f>
        <v>100</v>
      </c>
      <c r="F21" s="202">
        <f>LongTermData!$M$29</f>
        <v>105</v>
      </c>
      <c r="G21" s="202">
        <f>LongTermData!$M$30</f>
        <v>140</v>
      </c>
      <c r="H21" s="202">
        <f>LongTermData!$M$31</f>
        <v>90</v>
      </c>
      <c r="I21" s="202">
        <f>LongTermData!$M$32</f>
        <v>30</v>
      </c>
    </row>
    <row r="23" spans="1:14" x14ac:dyDescent="0.2">
      <c r="A23" s="204" t="s">
        <v>168</v>
      </c>
      <c r="B23" s="205"/>
      <c r="C23" s="205"/>
      <c r="D23" s="205"/>
      <c r="E23" s="205"/>
      <c r="F23" s="205"/>
      <c r="G23" s="205"/>
      <c r="H23" s="205"/>
    </row>
    <row r="24" spans="1:14" x14ac:dyDescent="0.2">
      <c r="A24" s="187" t="s">
        <v>169</v>
      </c>
      <c r="D24" s="195">
        <f>LongTermData!$M$17</f>
        <v>8.3333333333333339</v>
      </c>
    </row>
    <row r="26" spans="1:14" x14ac:dyDescent="0.2">
      <c r="A26" s="193" t="s">
        <v>170</v>
      </c>
      <c r="B26" s="193" t="s">
        <v>171</v>
      </c>
      <c r="C26" s="193" t="s">
        <v>172</v>
      </c>
      <c r="D26" s="193" t="s">
        <v>173</v>
      </c>
      <c r="E26" s="193" t="s">
        <v>131</v>
      </c>
    </row>
    <row r="27" spans="1:14" x14ac:dyDescent="0.2">
      <c r="A27" s="196" t="s">
        <v>95</v>
      </c>
      <c r="B27" s="191">
        <f>SUM(C4:C6)</f>
        <v>30.000000000000139</v>
      </c>
      <c r="C27" s="191">
        <f t="shared" ref="C27:C34" si="2">$D$24*B27</f>
        <v>250.00000000000117</v>
      </c>
      <c r="D27" s="191">
        <f t="shared" ref="D27:D34" si="3">K11</f>
        <v>250.00000000000003</v>
      </c>
      <c r="E27" s="191">
        <f>LongTermData!$S$8</f>
        <v>250</v>
      </c>
    </row>
    <row r="28" spans="1:14" x14ac:dyDescent="0.2">
      <c r="A28" s="196" t="s">
        <v>116</v>
      </c>
      <c r="B28" s="191">
        <f>SUM(D4:D6)</f>
        <v>26.400000000000013</v>
      </c>
      <c r="C28" s="191">
        <f t="shared" si="2"/>
        <v>220.00000000000011</v>
      </c>
      <c r="D28" s="191">
        <f t="shared" si="3"/>
        <v>220.00000000000003</v>
      </c>
      <c r="E28" s="191">
        <f>LongTermData!$S$9</f>
        <v>220</v>
      </c>
    </row>
    <row r="29" spans="1:14" x14ac:dyDescent="0.2">
      <c r="A29" s="196" t="s">
        <v>96</v>
      </c>
      <c r="B29" s="191">
        <f>SUM(E4:E6)</f>
        <v>10.799999999999997</v>
      </c>
      <c r="C29" s="191">
        <f t="shared" si="2"/>
        <v>89.999999999999986</v>
      </c>
      <c r="D29" s="191">
        <f t="shared" si="3"/>
        <v>90</v>
      </c>
      <c r="E29" s="191">
        <f>(LongTermData!$S$11*N5)+(LongTermData!$T$11*O5)</f>
        <v>90</v>
      </c>
    </row>
    <row r="30" spans="1:14" x14ac:dyDescent="0.2">
      <c r="A30" s="196" t="s">
        <v>143</v>
      </c>
      <c r="B30" s="191">
        <f>SUM(F4:F6)</f>
        <v>0</v>
      </c>
      <c r="C30" s="191">
        <f t="shared" si="2"/>
        <v>0</v>
      </c>
      <c r="D30" s="191">
        <f t="shared" si="3"/>
        <v>0</v>
      </c>
      <c r="E30" s="191">
        <f>(LongTermData!$S$12*N6)+(LongTermData!$T$12*O6)</f>
        <v>0</v>
      </c>
    </row>
    <row r="31" spans="1:14" x14ac:dyDescent="0.2">
      <c r="A31" s="196" t="s">
        <v>144</v>
      </c>
      <c r="B31" s="191">
        <f>SUM(G4:G6)</f>
        <v>0</v>
      </c>
      <c r="C31" s="191">
        <f t="shared" si="2"/>
        <v>0</v>
      </c>
      <c r="D31" s="191">
        <f t="shared" si="3"/>
        <v>0</v>
      </c>
      <c r="E31" s="191">
        <f>(LongTermData!$S$13*N7)+(LongTermData!$T$13*O7)</f>
        <v>0</v>
      </c>
    </row>
    <row r="32" spans="1:14" x14ac:dyDescent="0.2">
      <c r="A32" s="196" t="s">
        <v>100</v>
      </c>
      <c r="B32" s="191">
        <f>SUM(H4:H6)</f>
        <v>10.800000000000011</v>
      </c>
      <c r="C32" s="191">
        <f t="shared" si="2"/>
        <v>90.000000000000099</v>
      </c>
      <c r="D32" s="191">
        <f t="shared" si="3"/>
        <v>90.000000000000099</v>
      </c>
      <c r="E32" s="191">
        <f>(LongTermData!$S$14*N8)+(LongTermData!$T$14*O8)</f>
        <v>90</v>
      </c>
    </row>
    <row r="33" spans="1:5" x14ac:dyDescent="0.2">
      <c r="A33" s="196" t="s">
        <v>145</v>
      </c>
      <c r="B33" s="191">
        <f>SUM(I4:I6)</f>
        <v>0</v>
      </c>
      <c r="C33" s="191">
        <f t="shared" si="2"/>
        <v>0</v>
      </c>
      <c r="D33" s="191">
        <f t="shared" si="3"/>
        <v>0</v>
      </c>
      <c r="E33" s="191">
        <f>(LongTermData!$S$15*N9)+(LongTermData!$T$15*O9)</f>
        <v>0</v>
      </c>
    </row>
    <row r="34" spans="1:5" x14ac:dyDescent="0.2">
      <c r="A34" s="196" t="s">
        <v>146</v>
      </c>
      <c r="B34" s="191">
        <f>SUM(J4:J6)</f>
        <v>9.0000000000002665</v>
      </c>
      <c r="C34" s="191">
        <f t="shared" si="2"/>
        <v>75.000000000002231</v>
      </c>
      <c r="D34" s="191">
        <f t="shared" si="3"/>
        <v>75.000000000002245</v>
      </c>
      <c r="E34" s="191">
        <f>(LongTermData!$S$16*N10)+(LongTermData!$T$16*O10)</f>
        <v>90</v>
      </c>
    </row>
    <row r="37" spans="1:5" x14ac:dyDescent="0.2">
      <c r="A37" s="206" t="s">
        <v>174</v>
      </c>
      <c r="B37" s="205"/>
      <c r="C37" s="205"/>
      <c r="D37" s="205"/>
      <c r="E37" s="205"/>
    </row>
    <row r="38" spans="1:5" x14ac:dyDescent="0.2">
      <c r="A38" s="187" t="s">
        <v>175</v>
      </c>
      <c r="B38" s="201">
        <f>SUMPRODUCT(C4:J6,LongTermData!$C$9:$J$11)</f>
        <v>1.7861638800000088</v>
      </c>
    </row>
    <row r="39" spans="1:5" x14ac:dyDescent="0.2">
      <c r="A39" s="187" t="s">
        <v>176</v>
      </c>
      <c r="B39" s="201">
        <f>SUMPRODUCT(C11:I18,LongTermData!$D$18:$J$25)</f>
        <v>11.071428571428633</v>
      </c>
    </row>
    <row r="40" spans="1:5" x14ac:dyDescent="0.2">
      <c r="A40" s="187" t="s">
        <v>177</v>
      </c>
      <c r="B40" s="201">
        <f>SUMPRODUCT(N5:N10,LongTermData!D32:D37)+SUMPRODUCT(O5:O10,LongTermData!E32:E37)</f>
        <v>11</v>
      </c>
    </row>
    <row r="41" spans="1:5" ht="15.75" x14ac:dyDescent="0.25">
      <c r="A41" s="197" t="s">
        <v>178</v>
      </c>
      <c r="B41" s="200">
        <f>SUM(B38:B40)</f>
        <v>23.857592451428644</v>
      </c>
    </row>
  </sheetData>
  <mergeCells count="6">
    <mergeCell ref="A37:E37"/>
    <mergeCell ref="A1:H1"/>
    <mergeCell ref="A2:H2"/>
    <mergeCell ref="M3:O3"/>
    <mergeCell ref="A9:H9"/>
    <mergeCell ref="A23:H23"/>
  </mergeCells>
  <pageMargins left="0.75" right="0.75" top="1" bottom="1" header="0.5" footer="0.5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27FD-E2E6-4AE8-98AB-5A49132BB027}">
  <dimension ref="A1:O41"/>
  <sheetViews>
    <sheetView zoomScale="50" zoomScaleNormal="50" workbookViewId="0">
      <selection activeCell="K25" sqref="K25"/>
    </sheetView>
  </sheetViews>
  <sheetFormatPr defaultRowHeight="12.75" x14ac:dyDescent="0.2"/>
  <cols>
    <col min="1" max="1" width="40.28515625" bestFit="1" customWidth="1"/>
    <col min="2" max="2" width="20.140625" bestFit="1" customWidth="1"/>
    <col min="3" max="3" width="30.140625" bestFit="1" customWidth="1"/>
    <col min="4" max="4" width="25.42578125" bestFit="1" customWidth="1"/>
    <col min="5" max="5" width="10.42578125" bestFit="1" customWidth="1"/>
    <col min="6" max="6" width="9.7109375" bestFit="1" customWidth="1"/>
    <col min="7" max="7" width="9" bestFit="1" customWidth="1"/>
    <col min="8" max="8" width="9.5703125" bestFit="1" customWidth="1"/>
    <col min="9" max="9" width="14.5703125" bestFit="1" customWidth="1"/>
    <col min="10" max="10" width="9.5703125" bestFit="1" customWidth="1"/>
    <col min="11" max="12" width="10.28515625" bestFit="1" customWidth="1"/>
    <col min="13" max="13" width="28.42578125" bestFit="1" customWidth="1"/>
    <col min="14" max="14" width="17" bestFit="1" customWidth="1"/>
    <col min="15" max="15" width="9" bestFit="1" customWidth="1"/>
  </cols>
  <sheetData>
    <row r="1" spans="1:15" x14ac:dyDescent="0.2">
      <c r="A1" s="204" t="s">
        <v>159</v>
      </c>
      <c r="B1" s="205"/>
      <c r="C1" s="205"/>
      <c r="D1" s="205"/>
      <c r="E1" s="205"/>
      <c r="F1" s="205"/>
      <c r="G1" s="205"/>
      <c r="H1" s="205"/>
    </row>
    <row r="2" spans="1:15" ht="18" customHeight="1" x14ac:dyDescent="0.2">
      <c r="A2" s="206" t="s">
        <v>160</v>
      </c>
      <c r="B2" s="205"/>
      <c r="C2" s="205"/>
      <c r="D2" s="205"/>
      <c r="E2" s="205"/>
      <c r="F2" s="205"/>
      <c r="G2" s="205"/>
      <c r="H2" s="205"/>
    </row>
    <row r="3" spans="1:15" ht="18" customHeight="1" x14ac:dyDescent="0.2">
      <c r="B3" s="188" t="s">
        <v>161</v>
      </c>
      <c r="C3" s="189" t="s">
        <v>95</v>
      </c>
      <c r="D3" s="189" t="s">
        <v>116</v>
      </c>
      <c r="E3" s="189" t="s">
        <v>96</v>
      </c>
      <c r="F3" s="189" t="s">
        <v>143</v>
      </c>
      <c r="G3" s="189" t="s">
        <v>144</v>
      </c>
      <c r="H3" s="189" t="s">
        <v>100</v>
      </c>
      <c r="I3" s="189" t="s">
        <v>145</v>
      </c>
      <c r="J3" s="189" t="s">
        <v>146</v>
      </c>
      <c r="L3" s="188" t="s">
        <v>162</v>
      </c>
      <c r="M3" s="207" t="s">
        <v>163</v>
      </c>
      <c r="N3" s="205"/>
      <c r="O3" s="205"/>
    </row>
    <row r="4" spans="1:15" ht="18" customHeight="1" x14ac:dyDescent="0.2">
      <c r="B4" s="190" t="s">
        <v>110</v>
      </c>
      <c r="C4" s="198">
        <v>30.000000000000011</v>
      </c>
      <c r="D4" s="198">
        <v>0</v>
      </c>
      <c r="E4" s="198">
        <v>0</v>
      </c>
      <c r="F4" s="198">
        <v>0</v>
      </c>
      <c r="G4" s="198">
        <v>0</v>
      </c>
      <c r="H4" s="198">
        <v>0</v>
      </c>
      <c r="I4" s="198">
        <v>0</v>
      </c>
      <c r="J4" s="198">
        <v>0</v>
      </c>
      <c r="L4" s="203">
        <f>SUM(C4:J4)</f>
        <v>30.000000000000011</v>
      </c>
      <c r="M4" s="192" t="s">
        <v>164</v>
      </c>
      <c r="N4" s="189" t="s">
        <v>157</v>
      </c>
      <c r="O4" s="189" t="s">
        <v>165</v>
      </c>
    </row>
    <row r="5" spans="1:15" ht="18" customHeight="1" x14ac:dyDescent="0.2">
      <c r="B5" s="190" t="s">
        <v>114</v>
      </c>
      <c r="C5" s="198">
        <v>0</v>
      </c>
      <c r="D5" s="198">
        <v>26.4</v>
      </c>
      <c r="E5" s="198">
        <v>0</v>
      </c>
      <c r="F5" s="198">
        <v>0</v>
      </c>
      <c r="G5" s="198">
        <v>0</v>
      </c>
      <c r="H5" s="198">
        <v>10.799999999999995</v>
      </c>
      <c r="I5" s="198">
        <v>0</v>
      </c>
      <c r="J5" s="198">
        <v>5.3999999999999897</v>
      </c>
      <c r="L5" s="203">
        <f>SUM(C5:J5)</f>
        <v>42.599999999999987</v>
      </c>
      <c r="M5" s="192" t="s">
        <v>96</v>
      </c>
      <c r="N5" s="199">
        <v>1</v>
      </c>
      <c r="O5" s="199">
        <v>1</v>
      </c>
    </row>
    <row r="6" spans="1:15" ht="18" customHeight="1" x14ac:dyDescent="0.2">
      <c r="B6" s="190" t="s">
        <v>117</v>
      </c>
      <c r="C6" s="198">
        <v>3.1918911957973251E-15</v>
      </c>
      <c r="D6" s="198">
        <v>0</v>
      </c>
      <c r="E6" s="198">
        <v>14.400000000000013</v>
      </c>
      <c r="F6" s="198">
        <v>0</v>
      </c>
      <c r="G6" s="198">
        <v>0</v>
      </c>
      <c r="H6" s="198">
        <v>0</v>
      </c>
      <c r="I6" s="198">
        <v>0</v>
      </c>
      <c r="J6" s="198">
        <v>0</v>
      </c>
      <c r="L6" s="203">
        <f>SUM(C6:J6)</f>
        <v>14.400000000000016</v>
      </c>
      <c r="M6" s="192" t="s">
        <v>143</v>
      </c>
      <c r="N6" s="199">
        <v>0</v>
      </c>
      <c r="O6" s="199">
        <v>0</v>
      </c>
    </row>
    <row r="7" spans="1:15" ht="18" customHeight="1" x14ac:dyDescent="0.2">
      <c r="M7" s="193" t="s">
        <v>144</v>
      </c>
      <c r="N7" s="199">
        <v>0</v>
      </c>
      <c r="O7" s="199">
        <v>0</v>
      </c>
    </row>
    <row r="8" spans="1:15" ht="18" customHeight="1" x14ac:dyDescent="0.2">
      <c r="M8" s="193" t="s">
        <v>100</v>
      </c>
      <c r="N8" s="199">
        <v>1</v>
      </c>
      <c r="O8" s="199">
        <v>0</v>
      </c>
    </row>
    <row r="9" spans="1:15" ht="18" customHeight="1" x14ac:dyDescent="0.2">
      <c r="A9" s="206" t="s">
        <v>166</v>
      </c>
      <c r="B9" s="205"/>
      <c r="C9" s="205"/>
      <c r="D9" s="205"/>
      <c r="E9" s="205"/>
      <c r="F9" s="205"/>
      <c r="G9" s="205"/>
      <c r="H9" s="205"/>
      <c r="M9" s="193" t="s">
        <v>145</v>
      </c>
      <c r="N9" s="199">
        <v>0</v>
      </c>
      <c r="O9" s="199">
        <v>0</v>
      </c>
    </row>
    <row r="10" spans="1:15" ht="18" customHeight="1" x14ac:dyDescent="0.2">
      <c r="B10" s="188" t="s">
        <v>161</v>
      </c>
      <c r="C10" s="189" t="s">
        <v>95</v>
      </c>
      <c r="D10" s="189" t="s">
        <v>96</v>
      </c>
      <c r="E10" s="189" t="s">
        <v>97</v>
      </c>
      <c r="F10" s="189" t="s">
        <v>98</v>
      </c>
      <c r="G10" s="189" t="s">
        <v>99</v>
      </c>
      <c r="H10" s="189" t="s">
        <v>100</v>
      </c>
      <c r="I10" s="189" t="s">
        <v>127</v>
      </c>
      <c r="K10" s="188" t="s">
        <v>162</v>
      </c>
      <c r="M10" s="193" t="s">
        <v>146</v>
      </c>
      <c r="N10" s="199">
        <v>1</v>
      </c>
      <c r="O10" s="199">
        <v>0</v>
      </c>
    </row>
    <row r="11" spans="1:15" ht="18" customHeight="1" x14ac:dyDescent="0.2">
      <c r="B11" s="190" t="s">
        <v>95</v>
      </c>
      <c r="C11" s="198">
        <v>150.00000000000003</v>
      </c>
      <c r="D11" s="198">
        <v>0</v>
      </c>
      <c r="E11" s="198">
        <v>0</v>
      </c>
      <c r="F11" s="198">
        <v>99.999999999999986</v>
      </c>
      <c r="G11" s="198">
        <v>0</v>
      </c>
      <c r="H11" s="198">
        <v>0</v>
      </c>
      <c r="I11" s="198">
        <v>0</v>
      </c>
      <c r="K11" s="203">
        <f t="shared" ref="K11:K18" si="0">SUM(C11:I11)</f>
        <v>250</v>
      </c>
    </row>
    <row r="12" spans="1:15" x14ac:dyDescent="0.2">
      <c r="B12" s="190" t="s">
        <v>116</v>
      </c>
      <c r="C12" s="198">
        <v>0</v>
      </c>
      <c r="D12" s="198">
        <v>19.999999999999876</v>
      </c>
      <c r="E12" s="198">
        <v>60.000000000000121</v>
      </c>
      <c r="F12" s="198">
        <v>0</v>
      </c>
      <c r="G12" s="198">
        <v>140</v>
      </c>
      <c r="H12" s="198">
        <v>0</v>
      </c>
      <c r="I12" s="198">
        <v>0</v>
      </c>
      <c r="K12" s="203">
        <f t="shared" si="0"/>
        <v>220</v>
      </c>
      <c r="M12" s="30" t="s">
        <v>103</v>
      </c>
    </row>
    <row r="13" spans="1:15" ht="13.5" thickBot="1" x14ac:dyDescent="0.25">
      <c r="B13" s="190" t="s">
        <v>96</v>
      </c>
      <c r="C13" s="198">
        <v>0</v>
      </c>
      <c r="D13" s="198">
        <v>90.000000000000071</v>
      </c>
      <c r="E13" s="198">
        <v>0</v>
      </c>
      <c r="F13" s="198">
        <v>0</v>
      </c>
      <c r="G13" s="198">
        <v>0</v>
      </c>
      <c r="H13" s="198">
        <v>0</v>
      </c>
      <c r="I13" s="198">
        <v>29.999999999999972</v>
      </c>
      <c r="K13" s="203">
        <f t="shared" si="0"/>
        <v>120.00000000000004</v>
      </c>
    </row>
    <row r="14" spans="1:15" ht="13.5" thickTop="1" x14ac:dyDescent="0.2">
      <c r="B14" s="190" t="s">
        <v>143</v>
      </c>
      <c r="C14" s="198">
        <v>0</v>
      </c>
      <c r="D14" s="198">
        <v>0</v>
      </c>
      <c r="E14" s="198">
        <v>0</v>
      </c>
      <c r="F14" s="198">
        <v>4.2188474935755759E-15</v>
      </c>
      <c r="G14" s="198">
        <v>0</v>
      </c>
      <c r="H14" s="198">
        <v>0</v>
      </c>
      <c r="I14" s="198">
        <v>0</v>
      </c>
      <c r="K14" s="203">
        <f t="shared" si="0"/>
        <v>4.2188474935755759E-15</v>
      </c>
      <c r="M14" s="17" t="s">
        <v>105</v>
      </c>
      <c r="N14" s="32"/>
    </row>
    <row r="15" spans="1:15" x14ac:dyDescent="0.2">
      <c r="B15" s="190" t="s">
        <v>144</v>
      </c>
      <c r="C15" s="198">
        <v>0</v>
      </c>
      <c r="D15" s="198">
        <v>0</v>
      </c>
      <c r="E15" s="198">
        <v>0</v>
      </c>
      <c r="F15" s="198">
        <v>0</v>
      </c>
      <c r="G15" s="198">
        <v>0</v>
      </c>
      <c r="H15" s="198">
        <v>0</v>
      </c>
      <c r="I15" s="198">
        <v>0</v>
      </c>
      <c r="K15" s="203">
        <f t="shared" si="0"/>
        <v>0</v>
      </c>
      <c r="M15" s="40"/>
      <c r="N15" s="38" t="s">
        <v>108</v>
      </c>
    </row>
    <row r="16" spans="1:15" x14ac:dyDescent="0.2">
      <c r="B16" s="190" t="s">
        <v>100</v>
      </c>
      <c r="C16" s="198">
        <v>0</v>
      </c>
      <c r="D16" s="198">
        <v>0</v>
      </c>
      <c r="E16" s="198">
        <v>0</v>
      </c>
      <c r="F16" s="198">
        <v>0</v>
      </c>
      <c r="G16" s="198">
        <v>0</v>
      </c>
      <c r="H16" s="198">
        <v>89.999999999999986</v>
      </c>
      <c r="I16" s="198">
        <v>0</v>
      </c>
      <c r="K16" s="203">
        <f t="shared" si="0"/>
        <v>89.999999999999986</v>
      </c>
      <c r="M16" s="22" t="s">
        <v>110</v>
      </c>
      <c r="N16" s="85">
        <v>30</v>
      </c>
    </row>
    <row r="17" spans="1:14" x14ac:dyDescent="0.2">
      <c r="B17" s="190" t="s">
        <v>145</v>
      </c>
      <c r="C17" s="198">
        <v>0</v>
      </c>
      <c r="D17" s="198">
        <v>0</v>
      </c>
      <c r="E17" s="198">
        <v>0</v>
      </c>
      <c r="F17" s="198">
        <v>1.8429702208777558E-14</v>
      </c>
      <c r="G17" s="198">
        <v>0</v>
      </c>
      <c r="H17" s="198">
        <v>0</v>
      </c>
      <c r="I17" s="198">
        <v>0</v>
      </c>
      <c r="K17" s="203">
        <f t="shared" si="0"/>
        <v>1.8429702208777558E-14</v>
      </c>
      <c r="M17" s="22" t="s">
        <v>114</v>
      </c>
      <c r="N17" s="86">
        <v>68</v>
      </c>
    </row>
    <row r="18" spans="1:14" ht="13.5" thickBot="1" x14ac:dyDescent="0.25">
      <c r="B18" s="190" t="s">
        <v>146</v>
      </c>
      <c r="C18" s="198">
        <v>0</v>
      </c>
      <c r="D18" s="198">
        <v>0</v>
      </c>
      <c r="E18" s="198">
        <v>39.999999999999893</v>
      </c>
      <c r="F18" s="198">
        <v>5.0000000000000426</v>
      </c>
      <c r="G18" s="198">
        <v>0</v>
      </c>
      <c r="H18" s="198">
        <v>0</v>
      </c>
      <c r="I18" s="198">
        <v>0</v>
      </c>
      <c r="K18" s="203">
        <f t="shared" si="0"/>
        <v>44.999999999999936</v>
      </c>
      <c r="M18" s="23" t="s">
        <v>117</v>
      </c>
      <c r="N18" s="81">
        <v>20</v>
      </c>
    </row>
    <row r="19" spans="1:14" ht="13.5" thickTop="1" x14ac:dyDescent="0.2"/>
    <row r="20" spans="1:14" ht="25.5" x14ac:dyDescent="0.2">
      <c r="B20" s="194" t="s">
        <v>167</v>
      </c>
      <c r="C20" s="203">
        <f t="shared" ref="C20:I20" si="1">SUM(C11:C18)</f>
        <v>150.00000000000003</v>
      </c>
      <c r="D20" s="203">
        <f t="shared" si="1"/>
        <v>109.99999999999994</v>
      </c>
      <c r="E20" s="203">
        <f t="shared" si="1"/>
        <v>100.00000000000001</v>
      </c>
      <c r="F20" s="203">
        <f t="shared" si="1"/>
        <v>105.00000000000004</v>
      </c>
      <c r="G20" s="203">
        <f t="shared" si="1"/>
        <v>140</v>
      </c>
      <c r="H20" s="203">
        <f t="shared" si="1"/>
        <v>89.999999999999986</v>
      </c>
      <c r="I20" s="203">
        <f t="shared" si="1"/>
        <v>29.999999999999972</v>
      </c>
    </row>
    <row r="21" spans="1:14" x14ac:dyDescent="0.2">
      <c r="B21" s="194" t="s">
        <v>93</v>
      </c>
      <c r="C21" s="202">
        <f>LongTermData!$M$26</f>
        <v>150</v>
      </c>
      <c r="D21" s="202">
        <f>LongTermData!$M$27</f>
        <v>110</v>
      </c>
      <c r="E21" s="202">
        <f>LongTermData!$M$28</f>
        <v>100</v>
      </c>
      <c r="F21" s="202">
        <f>LongTermData!$M$29</f>
        <v>105</v>
      </c>
      <c r="G21" s="202">
        <f>LongTermData!$M$30</f>
        <v>140</v>
      </c>
      <c r="H21" s="202">
        <f>LongTermData!$M$31</f>
        <v>90</v>
      </c>
      <c r="I21" s="202">
        <f>LongTermData!$M$32</f>
        <v>30</v>
      </c>
    </row>
    <row r="23" spans="1:14" x14ac:dyDescent="0.2">
      <c r="A23" s="204" t="s">
        <v>168</v>
      </c>
      <c r="B23" s="205"/>
      <c r="C23" s="205"/>
      <c r="D23" s="205"/>
      <c r="E23" s="205"/>
      <c r="F23" s="205"/>
      <c r="G23" s="205"/>
      <c r="H23" s="205"/>
    </row>
    <row r="24" spans="1:14" x14ac:dyDescent="0.2">
      <c r="A24" s="187" t="s">
        <v>169</v>
      </c>
      <c r="D24" s="195">
        <f>LongTermData!$M$17</f>
        <v>8.3333333333333339</v>
      </c>
    </row>
    <row r="26" spans="1:14" x14ac:dyDescent="0.2">
      <c r="A26" s="193" t="s">
        <v>170</v>
      </c>
      <c r="B26" s="193" t="s">
        <v>171</v>
      </c>
      <c r="C26" s="193" t="s">
        <v>172</v>
      </c>
      <c r="D26" s="193" t="s">
        <v>173</v>
      </c>
      <c r="E26" s="193" t="s">
        <v>131</v>
      </c>
    </row>
    <row r="27" spans="1:14" x14ac:dyDescent="0.2">
      <c r="A27" s="196" t="s">
        <v>95</v>
      </c>
      <c r="B27" s="191">
        <f>SUM(C4:C6)</f>
        <v>30.000000000000014</v>
      </c>
      <c r="C27" s="191">
        <f t="shared" ref="C27:C34" si="2">$D$24*B27</f>
        <v>250.00000000000014</v>
      </c>
      <c r="D27" s="191">
        <f t="shared" ref="D27:D34" si="3">K11</f>
        <v>250</v>
      </c>
      <c r="E27" s="191">
        <f>LongTermData!$S$8</f>
        <v>250</v>
      </c>
    </row>
    <row r="28" spans="1:14" x14ac:dyDescent="0.2">
      <c r="A28" s="196" t="s">
        <v>116</v>
      </c>
      <c r="B28" s="191">
        <f>SUM(D4:D6)</f>
        <v>26.4</v>
      </c>
      <c r="C28" s="191">
        <f t="shared" si="2"/>
        <v>220</v>
      </c>
      <c r="D28" s="191">
        <f t="shared" si="3"/>
        <v>220</v>
      </c>
      <c r="E28" s="191">
        <f>LongTermData!$S$9</f>
        <v>220</v>
      </c>
    </row>
    <row r="29" spans="1:14" x14ac:dyDescent="0.2">
      <c r="A29" s="196" t="s">
        <v>96</v>
      </c>
      <c r="B29" s="191">
        <f>SUM(E4:E6)</f>
        <v>14.400000000000013</v>
      </c>
      <c r="C29" s="191">
        <f t="shared" si="2"/>
        <v>120.00000000000011</v>
      </c>
      <c r="D29" s="191">
        <f t="shared" si="3"/>
        <v>120.00000000000004</v>
      </c>
      <c r="E29" s="191">
        <f>(LongTermData!$S$11*N5)+(LongTermData!$T$11*O5)</f>
        <v>120</v>
      </c>
    </row>
    <row r="30" spans="1:14" x14ac:dyDescent="0.2">
      <c r="A30" s="196" t="s">
        <v>143</v>
      </c>
      <c r="B30" s="191">
        <f>SUM(F4:F6)</f>
        <v>0</v>
      </c>
      <c r="C30" s="191">
        <f t="shared" si="2"/>
        <v>0</v>
      </c>
      <c r="D30" s="191">
        <f t="shared" si="3"/>
        <v>4.2188474935755759E-15</v>
      </c>
      <c r="E30" s="191">
        <f>(LongTermData!$S$12*N6)+(LongTermData!$T$12*O6)</f>
        <v>0</v>
      </c>
    </row>
    <row r="31" spans="1:14" x14ac:dyDescent="0.2">
      <c r="A31" s="196" t="s">
        <v>144</v>
      </c>
      <c r="B31" s="191">
        <f>SUM(G4:G6)</f>
        <v>0</v>
      </c>
      <c r="C31" s="191">
        <f t="shared" si="2"/>
        <v>0</v>
      </c>
      <c r="D31" s="191">
        <f t="shared" si="3"/>
        <v>0</v>
      </c>
      <c r="E31" s="191">
        <f>(LongTermData!$S$13*N7)+(LongTermData!$T$13*O7)</f>
        <v>0</v>
      </c>
    </row>
    <row r="32" spans="1:14" x14ac:dyDescent="0.2">
      <c r="A32" s="196" t="s">
        <v>100</v>
      </c>
      <c r="B32" s="191">
        <f>SUM(H4:H6)</f>
        <v>10.799999999999995</v>
      </c>
      <c r="C32" s="191">
        <f t="shared" si="2"/>
        <v>89.999999999999972</v>
      </c>
      <c r="D32" s="191">
        <f t="shared" si="3"/>
        <v>89.999999999999986</v>
      </c>
      <c r="E32" s="191">
        <f>(LongTermData!$S$14*N8)+(LongTermData!$T$14*O8)</f>
        <v>90</v>
      </c>
    </row>
    <row r="33" spans="1:5" x14ac:dyDescent="0.2">
      <c r="A33" s="196" t="s">
        <v>145</v>
      </c>
      <c r="B33" s="191">
        <f>SUM(I4:I6)</f>
        <v>0</v>
      </c>
      <c r="C33" s="191">
        <f t="shared" si="2"/>
        <v>0</v>
      </c>
      <c r="D33" s="191">
        <f t="shared" si="3"/>
        <v>1.8429702208777558E-14</v>
      </c>
      <c r="E33" s="191">
        <f>(LongTermData!$S$15*N9)+(LongTermData!$T$15*O9)</f>
        <v>0</v>
      </c>
    </row>
    <row r="34" spans="1:5" x14ac:dyDescent="0.2">
      <c r="A34" s="196" t="s">
        <v>146</v>
      </c>
      <c r="B34" s="191">
        <f>SUM(J4:J6)</f>
        <v>5.3999999999999897</v>
      </c>
      <c r="C34" s="191">
        <f t="shared" si="2"/>
        <v>44.999999999999915</v>
      </c>
      <c r="D34" s="191">
        <f t="shared" si="3"/>
        <v>44.999999999999936</v>
      </c>
      <c r="E34" s="191">
        <f>(LongTermData!$S$16*N10)+(LongTermData!$T$16*O10)</f>
        <v>90</v>
      </c>
    </row>
    <row r="37" spans="1:5" x14ac:dyDescent="0.2">
      <c r="A37" s="206" t="s">
        <v>174</v>
      </c>
      <c r="B37" s="205"/>
      <c r="C37" s="205"/>
      <c r="D37" s="205"/>
      <c r="E37" s="205"/>
    </row>
    <row r="38" spans="1:5" x14ac:dyDescent="0.2">
      <c r="A38" s="187" t="s">
        <v>175</v>
      </c>
      <c r="B38" s="201">
        <f>SUMPRODUCT(C4:J6,LongTermData!$C$9:$J$11)</f>
        <v>1.7406526800000002</v>
      </c>
    </row>
    <row r="39" spans="1:5" x14ac:dyDescent="0.2">
      <c r="A39" s="187" t="s">
        <v>176</v>
      </c>
      <c r="B39" s="201">
        <f>SUMPRODUCT(C11:I18,LongTermData!$D$18:$J$25)</f>
        <v>9.8285714285714274</v>
      </c>
    </row>
    <row r="40" spans="1:5" x14ac:dyDescent="0.2">
      <c r="A40" s="187" t="s">
        <v>177</v>
      </c>
      <c r="B40" s="201">
        <f>SUMPRODUCT(N5:N10,LongTermData!D32:D37)+SUMPRODUCT(O5:O10,LongTermData!E32:E37)</f>
        <v>12</v>
      </c>
    </row>
    <row r="41" spans="1:5" ht="15.75" x14ac:dyDescent="0.25">
      <c r="A41" s="197" t="s">
        <v>178</v>
      </c>
      <c r="B41" s="200">
        <f>SUM(B38:B40)</f>
        <v>23.569224108571426</v>
      </c>
    </row>
  </sheetData>
  <mergeCells count="6">
    <mergeCell ref="A37:E37"/>
    <mergeCell ref="A1:H1"/>
    <mergeCell ref="A2:H2"/>
    <mergeCell ref="M3:O3"/>
    <mergeCell ref="A9:H9"/>
    <mergeCell ref="A23:H23"/>
  </mergeCells>
  <pageMargins left="0.75" right="0.75" top="1" bottom="1" header="0.5" footer="0.5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8494-7739-4AAD-9C67-CBB412729D31}">
  <dimension ref="A1:O41"/>
  <sheetViews>
    <sheetView tabSelected="1" zoomScale="80" zoomScaleNormal="80" workbookViewId="0">
      <selection activeCell="N6" sqref="N6"/>
    </sheetView>
  </sheetViews>
  <sheetFormatPr defaultRowHeight="12.75" x14ac:dyDescent="0.2"/>
  <cols>
    <col min="1" max="1" width="40.28515625" bestFit="1" customWidth="1"/>
    <col min="2" max="2" width="20.140625" bestFit="1" customWidth="1"/>
    <col min="3" max="3" width="30.140625" bestFit="1" customWidth="1"/>
    <col min="4" max="4" width="25.42578125" bestFit="1" customWidth="1"/>
    <col min="5" max="5" width="10.42578125" bestFit="1" customWidth="1"/>
    <col min="6" max="6" width="9.7109375" bestFit="1" customWidth="1"/>
    <col min="7" max="7" width="9" bestFit="1" customWidth="1"/>
    <col min="8" max="8" width="9.5703125" bestFit="1" customWidth="1"/>
    <col min="9" max="9" width="14.5703125" bestFit="1" customWidth="1"/>
    <col min="10" max="10" width="9.5703125" bestFit="1" customWidth="1"/>
    <col min="11" max="12" width="10.28515625" bestFit="1" customWidth="1"/>
    <col min="13" max="13" width="28.42578125" bestFit="1" customWidth="1"/>
    <col min="14" max="14" width="17" bestFit="1" customWidth="1"/>
    <col min="15" max="15" width="9" bestFit="1" customWidth="1"/>
  </cols>
  <sheetData>
    <row r="1" spans="1:15" x14ac:dyDescent="0.2">
      <c r="A1" s="204" t="s">
        <v>159</v>
      </c>
      <c r="B1" s="205"/>
      <c r="C1" s="205"/>
      <c r="D1" s="205"/>
      <c r="E1" s="205"/>
      <c r="F1" s="205"/>
      <c r="G1" s="205"/>
      <c r="H1" s="205"/>
    </row>
    <row r="2" spans="1:15" ht="18" customHeight="1" x14ac:dyDescent="0.2">
      <c r="A2" s="206" t="s">
        <v>160</v>
      </c>
      <c r="B2" s="205"/>
      <c r="C2" s="205"/>
      <c r="D2" s="205"/>
      <c r="E2" s="205"/>
      <c r="F2" s="205"/>
      <c r="G2" s="205"/>
      <c r="H2" s="205"/>
    </row>
    <row r="3" spans="1:15" ht="18" customHeight="1" x14ac:dyDescent="0.2">
      <c r="B3" s="188" t="s">
        <v>161</v>
      </c>
      <c r="C3" s="189" t="s">
        <v>95</v>
      </c>
      <c r="D3" s="189" t="s">
        <v>116</v>
      </c>
      <c r="E3" s="189" t="s">
        <v>96</v>
      </c>
      <c r="F3" s="189" t="s">
        <v>143</v>
      </c>
      <c r="G3" s="189" t="s">
        <v>144</v>
      </c>
      <c r="H3" s="189" t="s">
        <v>100</v>
      </c>
      <c r="I3" s="189" t="s">
        <v>145</v>
      </c>
      <c r="J3" s="189" t="s">
        <v>146</v>
      </c>
      <c r="L3" s="188" t="s">
        <v>162</v>
      </c>
      <c r="M3" s="207" t="s">
        <v>163</v>
      </c>
      <c r="N3" s="205"/>
      <c r="O3" s="205"/>
    </row>
    <row r="4" spans="1:15" ht="18" customHeight="1" x14ac:dyDescent="0.2">
      <c r="B4" s="190" t="s">
        <v>110</v>
      </c>
      <c r="C4" s="198">
        <v>19.199999999999807</v>
      </c>
      <c r="D4" s="198">
        <v>0</v>
      </c>
      <c r="E4" s="198">
        <v>0</v>
      </c>
      <c r="F4" s="198">
        <v>10.799999999999912</v>
      </c>
      <c r="G4" s="198">
        <v>0</v>
      </c>
      <c r="H4" s="198">
        <v>0</v>
      </c>
      <c r="I4" s="198">
        <v>2.4842627954769548E-13</v>
      </c>
      <c r="J4" s="198">
        <v>0</v>
      </c>
      <c r="L4" s="203">
        <f>SUM(C4:J4)</f>
        <v>29.999999999999968</v>
      </c>
      <c r="M4" s="192" t="s">
        <v>164</v>
      </c>
      <c r="N4" s="189" t="s">
        <v>157</v>
      </c>
      <c r="O4" s="189" t="s">
        <v>165</v>
      </c>
    </row>
    <row r="5" spans="1:15" ht="18" customHeight="1" x14ac:dyDescent="0.2">
      <c r="B5" s="190" t="s">
        <v>114</v>
      </c>
      <c r="C5" s="198">
        <v>0</v>
      </c>
      <c r="D5" s="198">
        <v>26.4</v>
      </c>
      <c r="E5" s="198">
        <v>0</v>
      </c>
      <c r="F5" s="198">
        <v>0</v>
      </c>
      <c r="G5" s="198">
        <v>0</v>
      </c>
      <c r="H5" s="198">
        <v>0</v>
      </c>
      <c r="I5" s="198">
        <v>0</v>
      </c>
      <c r="J5" s="198">
        <v>10.79999999999999</v>
      </c>
      <c r="L5" s="203">
        <f>SUM(C5:J5)</f>
        <v>37.199999999999989</v>
      </c>
      <c r="M5" s="192" t="s">
        <v>96</v>
      </c>
      <c r="N5" s="199">
        <v>1</v>
      </c>
      <c r="O5" s="199">
        <v>1</v>
      </c>
    </row>
    <row r="6" spans="1:15" ht="18" customHeight="1" x14ac:dyDescent="0.2">
      <c r="B6" s="190" t="s">
        <v>117</v>
      </c>
      <c r="C6" s="198">
        <v>5.4000000000004356</v>
      </c>
      <c r="D6" s="198">
        <v>0</v>
      </c>
      <c r="E6" s="198">
        <v>14.399999999999807</v>
      </c>
      <c r="F6" s="198">
        <v>0</v>
      </c>
      <c r="G6" s="198">
        <v>0</v>
      </c>
      <c r="H6" s="198">
        <v>0</v>
      </c>
      <c r="I6" s="198">
        <v>0</v>
      </c>
      <c r="J6" s="198">
        <v>0</v>
      </c>
      <c r="L6" s="203">
        <f>SUM(C6:J6)</f>
        <v>19.800000000000242</v>
      </c>
      <c r="M6" s="192" t="s">
        <v>143</v>
      </c>
      <c r="N6" s="199">
        <v>1</v>
      </c>
      <c r="O6" s="199">
        <v>0</v>
      </c>
    </row>
    <row r="7" spans="1:15" ht="18" customHeight="1" x14ac:dyDescent="0.2">
      <c r="M7" s="193" t="s">
        <v>144</v>
      </c>
      <c r="N7" s="199">
        <v>0</v>
      </c>
      <c r="O7" s="199">
        <v>0</v>
      </c>
    </row>
    <row r="8" spans="1:15" ht="18" customHeight="1" x14ac:dyDescent="0.2">
      <c r="M8" s="193" t="s">
        <v>100</v>
      </c>
      <c r="N8" s="199">
        <v>0</v>
      </c>
      <c r="O8" s="199">
        <v>0</v>
      </c>
    </row>
    <row r="9" spans="1:15" ht="18" customHeight="1" x14ac:dyDescent="0.2">
      <c r="A9" s="206" t="s">
        <v>166</v>
      </c>
      <c r="B9" s="205"/>
      <c r="C9" s="205"/>
      <c r="D9" s="205"/>
      <c r="E9" s="205"/>
      <c r="F9" s="205"/>
      <c r="G9" s="205"/>
      <c r="H9" s="205"/>
      <c r="M9" s="193" t="s">
        <v>145</v>
      </c>
      <c r="N9" s="199">
        <v>0</v>
      </c>
      <c r="O9" s="199">
        <v>0</v>
      </c>
    </row>
    <row r="10" spans="1:15" ht="18" customHeight="1" x14ac:dyDescent="0.2">
      <c r="B10" s="188" t="s">
        <v>161</v>
      </c>
      <c r="C10" s="189" t="s">
        <v>95</v>
      </c>
      <c r="D10" s="189" t="s">
        <v>96</v>
      </c>
      <c r="E10" s="189" t="s">
        <v>97</v>
      </c>
      <c r="F10" s="189" t="s">
        <v>98</v>
      </c>
      <c r="G10" s="189" t="s">
        <v>99</v>
      </c>
      <c r="H10" s="189" t="s">
        <v>100</v>
      </c>
      <c r="I10" s="189" t="s">
        <v>127</v>
      </c>
      <c r="K10" s="188" t="s">
        <v>162</v>
      </c>
      <c r="M10" s="193" t="s">
        <v>146</v>
      </c>
      <c r="N10" s="199">
        <v>1</v>
      </c>
      <c r="O10" s="199">
        <v>0</v>
      </c>
    </row>
    <row r="11" spans="1:15" ht="18" customHeight="1" x14ac:dyDescent="0.2">
      <c r="B11" s="190" t="s">
        <v>95</v>
      </c>
      <c r="C11" s="198">
        <v>150.00000000000003</v>
      </c>
      <c r="D11" s="198">
        <v>20.00000000000157</v>
      </c>
      <c r="E11" s="198">
        <v>0</v>
      </c>
      <c r="F11" s="198">
        <v>35.000000000000405</v>
      </c>
      <c r="G11" s="198">
        <v>0</v>
      </c>
      <c r="H11" s="198">
        <v>0</v>
      </c>
      <c r="I11" s="198">
        <v>0</v>
      </c>
      <c r="K11" s="203">
        <f t="shared" ref="K11:K18" si="0">SUM(C11:I11)</f>
        <v>205.00000000000199</v>
      </c>
    </row>
    <row r="12" spans="1:15" x14ac:dyDescent="0.2">
      <c r="B12" s="190" t="s">
        <v>116</v>
      </c>
      <c r="C12" s="198">
        <v>0</v>
      </c>
      <c r="D12" s="198">
        <v>0</v>
      </c>
      <c r="E12" s="198">
        <v>79.999999999999943</v>
      </c>
      <c r="F12" s="198">
        <v>0</v>
      </c>
      <c r="G12" s="198">
        <v>140.00000000000003</v>
      </c>
      <c r="H12" s="198">
        <v>4.5297099404708141E-14</v>
      </c>
      <c r="I12" s="198">
        <v>0</v>
      </c>
      <c r="K12" s="203">
        <f t="shared" si="0"/>
        <v>220.00000000000003</v>
      </c>
      <c r="M12" s="30" t="s">
        <v>103</v>
      </c>
    </row>
    <row r="13" spans="1:15" ht="13.5" thickBot="1" x14ac:dyDescent="0.25">
      <c r="B13" s="190" t="s">
        <v>96</v>
      </c>
      <c r="C13" s="198">
        <v>0</v>
      </c>
      <c r="D13" s="198">
        <v>89.999999999998394</v>
      </c>
      <c r="E13" s="198">
        <v>0</v>
      </c>
      <c r="F13" s="198">
        <v>0</v>
      </c>
      <c r="G13" s="198">
        <v>0</v>
      </c>
      <c r="H13" s="198">
        <v>0</v>
      </c>
      <c r="I13" s="198">
        <v>29.999999999999979</v>
      </c>
      <c r="K13" s="203">
        <f t="shared" si="0"/>
        <v>119.99999999999838</v>
      </c>
    </row>
    <row r="14" spans="1:15" ht="13.5" thickTop="1" x14ac:dyDescent="0.2">
      <c r="B14" s="190" t="s">
        <v>143</v>
      </c>
      <c r="C14" s="198">
        <v>0</v>
      </c>
      <c r="D14" s="198">
        <v>0</v>
      </c>
      <c r="E14" s="198">
        <v>20.000000000002721</v>
      </c>
      <c r="F14" s="198">
        <v>69.999999999997499</v>
      </c>
      <c r="G14" s="198">
        <v>0</v>
      </c>
      <c r="H14" s="198">
        <v>0</v>
      </c>
      <c r="I14" s="198">
        <v>0</v>
      </c>
      <c r="K14" s="203">
        <f t="shared" si="0"/>
        <v>90.000000000000227</v>
      </c>
      <c r="M14" s="17" t="s">
        <v>105</v>
      </c>
      <c r="N14" s="32"/>
    </row>
    <row r="15" spans="1:15" x14ac:dyDescent="0.2">
      <c r="B15" s="190" t="s">
        <v>144</v>
      </c>
      <c r="C15" s="198">
        <v>0</v>
      </c>
      <c r="D15" s="198">
        <v>0</v>
      </c>
      <c r="E15" s="198">
        <v>0</v>
      </c>
      <c r="F15" s="198">
        <v>0</v>
      </c>
      <c r="G15" s="198">
        <v>0</v>
      </c>
      <c r="H15" s="198">
        <v>0</v>
      </c>
      <c r="I15" s="198">
        <v>0</v>
      </c>
      <c r="K15" s="203">
        <f t="shared" si="0"/>
        <v>0</v>
      </c>
      <c r="M15" s="40"/>
      <c r="N15" s="38" t="s">
        <v>108</v>
      </c>
    </row>
    <row r="16" spans="1:15" x14ac:dyDescent="0.2">
      <c r="B16" s="190" t="s">
        <v>100</v>
      </c>
      <c r="C16" s="198">
        <v>0</v>
      </c>
      <c r="D16" s="198">
        <v>0</v>
      </c>
      <c r="E16" s="198">
        <v>0</v>
      </c>
      <c r="F16" s="198">
        <v>0</v>
      </c>
      <c r="G16" s="198">
        <v>0</v>
      </c>
      <c r="H16" s="198">
        <v>0</v>
      </c>
      <c r="I16" s="198">
        <v>0</v>
      </c>
      <c r="K16" s="203">
        <f t="shared" si="0"/>
        <v>0</v>
      </c>
      <c r="M16" s="22" t="s">
        <v>110</v>
      </c>
      <c r="N16" s="85">
        <v>30</v>
      </c>
    </row>
    <row r="17" spans="1:14" x14ac:dyDescent="0.2">
      <c r="B17" s="190" t="s">
        <v>145</v>
      </c>
      <c r="C17" s="198">
        <v>0</v>
      </c>
      <c r="D17" s="198">
        <v>0</v>
      </c>
      <c r="E17" s="198">
        <v>0</v>
      </c>
      <c r="F17" s="198">
        <v>2.08320397968964E-12</v>
      </c>
      <c r="G17" s="198">
        <v>0</v>
      </c>
      <c r="H17" s="198">
        <v>0</v>
      </c>
      <c r="I17" s="198">
        <v>0</v>
      </c>
      <c r="K17" s="203">
        <f t="shared" si="0"/>
        <v>2.08320397968964E-12</v>
      </c>
      <c r="M17" s="22" t="s">
        <v>114</v>
      </c>
      <c r="N17" s="86">
        <v>68</v>
      </c>
    </row>
    <row r="18" spans="1:14" ht="13.5" thickBot="1" x14ac:dyDescent="0.25">
      <c r="B18" s="190" t="s">
        <v>146</v>
      </c>
      <c r="C18" s="198">
        <v>0</v>
      </c>
      <c r="D18" s="198">
        <v>0</v>
      </c>
      <c r="E18" s="198">
        <v>0</v>
      </c>
      <c r="F18" s="198">
        <v>0</v>
      </c>
      <c r="G18" s="198">
        <v>0</v>
      </c>
      <c r="H18" s="198">
        <v>90</v>
      </c>
      <c r="I18" s="198">
        <v>0</v>
      </c>
      <c r="K18" s="203">
        <f t="shared" si="0"/>
        <v>90</v>
      </c>
      <c r="M18" s="23" t="s">
        <v>117</v>
      </c>
      <c r="N18" s="81">
        <v>20</v>
      </c>
    </row>
    <row r="19" spans="1:14" ht="13.5" thickTop="1" x14ac:dyDescent="0.2"/>
    <row r="20" spans="1:14" ht="25.5" x14ac:dyDescent="0.2">
      <c r="B20" s="194" t="s">
        <v>167</v>
      </c>
      <c r="C20" s="203">
        <f t="shared" ref="C20:I20" si="1">SUM(C11:C18)</f>
        <v>150.00000000000003</v>
      </c>
      <c r="D20" s="203">
        <f t="shared" si="1"/>
        <v>109.99999999999997</v>
      </c>
      <c r="E20" s="203">
        <f t="shared" si="1"/>
        <v>100.00000000000267</v>
      </c>
      <c r="F20" s="203">
        <f t="shared" si="1"/>
        <v>104.99999999999999</v>
      </c>
      <c r="G20" s="203">
        <f t="shared" si="1"/>
        <v>140.00000000000003</v>
      </c>
      <c r="H20" s="203">
        <f t="shared" si="1"/>
        <v>90.000000000000043</v>
      </c>
      <c r="I20" s="203">
        <f t="shared" si="1"/>
        <v>29.999999999999979</v>
      </c>
    </row>
    <row r="21" spans="1:14" x14ac:dyDescent="0.2">
      <c r="B21" s="194" t="s">
        <v>93</v>
      </c>
      <c r="C21" s="202">
        <f>LongTermData!$M$26</f>
        <v>150</v>
      </c>
      <c r="D21" s="202">
        <f>LongTermData!$M$27</f>
        <v>110</v>
      </c>
      <c r="E21" s="202">
        <f>LongTermData!$M$28</f>
        <v>100</v>
      </c>
      <c r="F21" s="202">
        <f>LongTermData!$M$29</f>
        <v>105</v>
      </c>
      <c r="G21" s="202">
        <f>LongTermData!$M$30</f>
        <v>140</v>
      </c>
      <c r="H21" s="202">
        <f>LongTermData!$M$31</f>
        <v>90</v>
      </c>
      <c r="I21" s="202">
        <f>LongTermData!$M$32</f>
        <v>30</v>
      </c>
    </row>
    <row r="23" spans="1:14" x14ac:dyDescent="0.2">
      <c r="A23" s="204" t="s">
        <v>168</v>
      </c>
      <c r="B23" s="205"/>
      <c r="C23" s="205"/>
      <c r="D23" s="205"/>
      <c r="E23" s="205"/>
      <c r="F23" s="205"/>
      <c r="G23" s="205"/>
      <c r="H23" s="205"/>
    </row>
    <row r="24" spans="1:14" x14ac:dyDescent="0.2">
      <c r="A24" s="187" t="s">
        <v>169</v>
      </c>
      <c r="D24" s="195">
        <f>LongTermData!$M$17</f>
        <v>8.3333333333333339</v>
      </c>
    </row>
    <row r="26" spans="1:14" x14ac:dyDescent="0.2">
      <c r="A26" s="193" t="s">
        <v>170</v>
      </c>
      <c r="B26" s="193" t="s">
        <v>171</v>
      </c>
      <c r="C26" s="193" t="s">
        <v>172</v>
      </c>
      <c r="D26" s="193" t="s">
        <v>173</v>
      </c>
      <c r="E26" s="193" t="s">
        <v>131</v>
      </c>
    </row>
    <row r="27" spans="1:14" x14ac:dyDescent="0.2">
      <c r="A27" s="196" t="s">
        <v>95</v>
      </c>
      <c r="B27" s="191">
        <f>SUM(C4:C6)</f>
        <v>24.600000000000243</v>
      </c>
      <c r="C27" s="191">
        <f t="shared" ref="C27:C34" si="2">$D$24*B27</f>
        <v>205.00000000000205</v>
      </c>
      <c r="D27" s="191">
        <f t="shared" ref="D27:D34" si="3">K11</f>
        <v>205.00000000000199</v>
      </c>
      <c r="E27" s="191">
        <f>LongTermData!$S$8</f>
        <v>250</v>
      </c>
    </row>
    <row r="28" spans="1:14" x14ac:dyDescent="0.2">
      <c r="A28" s="196" t="s">
        <v>116</v>
      </c>
      <c r="B28" s="191">
        <f>SUM(D4:D6)</f>
        <v>26.4</v>
      </c>
      <c r="C28" s="191">
        <f t="shared" si="2"/>
        <v>220</v>
      </c>
      <c r="D28" s="191">
        <f t="shared" si="3"/>
        <v>220.00000000000003</v>
      </c>
      <c r="E28" s="191">
        <f>LongTermData!$S$9</f>
        <v>220</v>
      </c>
    </row>
    <row r="29" spans="1:14" x14ac:dyDescent="0.2">
      <c r="A29" s="196" t="s">
        <v>96</v>
      </c>
      <c r="B29" s="191">
        <f>SUM(E4:E6)</f>
        <v>14.399999999999807</v>
      </c>
      <c r="C29" s="191">
        <f t="shared" si="2"/>
        <v>119.99999999999839</v>
      </c>
      <c r="D29" s="191">
        <f t="shared" si="3"/>
        <v>119.99999999999838</v>
      </c>
      <c r="E29" s="191">
        <f>(LongTermData!$S$11*N5)+(LongTermData!$T$11*O5)</f>
        <v>120</v>
      </c>
    </row>
    <row r="30" spans="1:14" x14ac:dyDescent="0.2">
      <c r="A30" s="196" t="s">
        <v>143</v>
      </c>
      <c r="B30" s="191">
        <f>SUM(F4:F6)</f>
        <v>10.799999999999912</v>
      </c>
      <c r="C30" s="191">
        <f t="shared" si="2"/>
        <v>89.999999999999275</v>
      </c>
      <c r="D30" s="191">
        <f t="shared" si="3"/>
        <v>90.000000000000227</v>
      </c>
      <c r="E30" s="191">
        <f>(LongTermData!$S$12*N6)+(LongTermData!$T$12*O6)</f>
        <v>90</v>
      </c>
    </row>
    <row r="31" spans="1:14" x14ac:dyDescent="0.2">
      <c r="A31" s="196" t="s">
        <v>144</v>
      </c>
      <c r="B31" s="191">
        <f>SUM(G4:G6)</f>
        <v>0</v>
      </c>
      <c r="C31" s="191">
        <f t="shared" si="2"/>
        <v>0</v>
      </c>
      <c r="D31" s="191">
        <f t="shared" si="3"/>
        <v>0</v>
      </c>
      <c r="E31" s="191">
        <f>(LongTermData!$S$13*N7)+(LongTermData!$T$13*O7)</f>
        <v>0</v>
      </c>
    </row>
    <row r="32" spans="1:14" x14ac:dyDescent="0.2">
      <c r="A32" s="196" t="s">
        <v>100</v>
      </c>
      <c r="B32" s="191">
        <f>SUM(H4:H6)</f>
        <v>0</v>
      </c>
      <c r="C32" s="191">
        <f t="shared" si="2"/>
        <v>0</v>
      </c>
      <c r="D32" s="191">
        <f t="shared" si="3"/>
        <v>0</v>
      </c>
      <c r="E32" s="191">
        <f>(LongTermData!$S$14*N8)+(LongTermData!$T$14*O8)</f>
        <v>0</v>
      </c>
    </row>
    <row r="33" spans="1:5" x14ac:dyDescent="0.2">
      <c r="A33" s="196" t="s">
        <v>145</v>
      </c>
      <c r="B33" s="191">
        <f>SUM(I4:I6)</f>
        <v>2.4842627954769548E-13</v>
      </c>
      <c r="C33" s="191">
        <f t="shared" si="2"/>
        <v>2.0702189962307959E-12</v>
      </c>
      <c r="D33" s="191">
        <f t="shared" si="3"/>
        <v>2.08320397968964E-12</v>
      </c>
      <c r="E33" s="191">
        <f>(LongTermData!$S$15*N9)+(LongTermData!$T$15*O9)</f>
        <v>0</v>
      </c>
    </row>
    <row r="34" spans="1:5" x14ac:dyDescent="0.2">
      <c r="A34" s="196" t="s">
        <v>146</v>
      </c>
      <c r="B34" s="191">
        <f>SUM(J4:J6)</f>
        <v>10.79999999999999</v>
      </c>
      <c r="C34" s="191">
        <f t="shared" si="2"/>
        <v>89.999999999999929</v>
      </c>
      <c r="D34" s="191">
        <f t="shared" si="3"/>
        <v>90</v>
      </c>
      <c r="E34" s="191">
        <f>(LongTermData!$S$16*N10)+(LongTermData!$T$16*O10)</f>
        <v>90</v>
      </c>
    </row>
    <row r="37" spans="1:5" x14ac:dyDescent="0.2">
      <c r="A37" s="206" t="s">
        <v>174</v>
      </c>
      <c r="B37" s="205"/>
      <c r="C37" s="205"/>
      <c r="D37" s="205"/>
      <c r="E37" s="205"/>
    </row>
    <row r="38" spans="1:5" x14ac:dyDescent="0.2">
      <c r="A38" s="187" t="s">
        <v>175</v>
      </c>
      <c r="B38" s="201">
        <f>SUMPRODUCT(C4:J6,LongTermData!$C$9:$J$11)</f>
        <v>1.5679056000000124</v>
      </c>
    </row>
    <row r="39" spans="1:5" x14ac:dyDescent="0.2">
      <c r="A39" s="187" t="s">
        <v>176</v>
      </c>
      <c r="B39" s="201">
        <f>SUMPRODUCT(C11:I18,LongTermData!$D$18:$J$25)</f>
        <v>11.986785714285904</v>
      </c>
    </row>
    <row r="40" spans="1:5" x14ac:dyDescent="0.2">
      <c r="A40" s="187" t="s">
        <v>177</v>
      </c>
      <c r="B40" s="201">
        <f>SUMPRODUCT(N5:N10,LongTermData!D32:D37)+SUMPRODUCT(O5:O10,LongTermData!E32:E37)</f>
        <v>13.5</v>
      </c>
    </row>
    <row r="41" spans="1:5" ht="15.75" x14ac:dyDescent="0.25">
      <c r="A41" s="197" t="s">
        <v>178</v>
      </c>
      <c r="B41" s="200">
        <f>SUM(B38:B40)</f>
        <v>27.054691314285918</v>
      </c>
    </row>
  </sheetData>
  <mergeCells count="6">
    <mergeCell ref="A37:E37"/>
    <mergeCell ref="A1:H1"/>
    <mergeCell ref="A2:H2"/>
    <mergeCell ref="M3:O3"/>
    <mergeCell ref="A9:H9"/>
    <mergeCell ref="A23:H23"/>
  </mergeCells>
  <pageMargins left="0.75" right="0.75" top="1" bottom="1" header="0.5" footer="0.5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D9ECA-1747-40B0-B422-51DCDE834D6C}">
  <dimension ref="A1:O41"/>
  <sheetViews>
    <sheetView zoomScale="50" zoomScaleNormal="50" workbookViewId="0">
      <selection activeCell="N7" sqref="N7"/>
    </sheetView>
  </sheetViews>
  <sheetFormatPr defaultRowHeight="12.75" x14ac:dyDescent="0.2"/>
  <cols>
    <col min="1" max="1" width="40.28515625" bestFit="1" customWidth="1"/>
    <col min="2" max="2" width="20.140625" bestFit="1" customWidth="1"/>
    <col min="3" max="3" width="30.140625" bestFit="1" customWidth="1"/>
    <col min="4" max="4" width="25.42578125" bestFit="1" customWidth="1"/>
    <col min="5" max="5" width="10.42578125" bestFit="1" customWidth="1"/>
    <col min="6" max="6" width="9.7109375" bestFit="1" customWidth="1"/>
    <col min="7" max="7" width="9" bestFit="1" customWidth="1"/>
    <col min="8" max="8" width="9.5703125" bestFit="1" customWidth="1"/>
    <col min="9" max="9" width="14.5703125" bestFit="1" customWidth="1"/>
    <col min="10" max="10" width="9.5703125" bestFit="1" customWidth="1"/>
    <col min="11" max="12" width="10.28515625" bestFit="1" customWidth="1"/>
    <col min="13" max="13" width="28.42578125" bestFit="1" customWidth="1"/>
    <col min="14" max="14" width="17" bestFit="1" customWidth="1"/>
    <col min="15" max="15" width="9" bestFit="1" customWidth="1"/>
  </cols>
  <sheetData>
    <row r="1" spans="1:15" x14ac:dyDescent="0.2">
      <c r="A1" s="204" t="s">
        <v>159</v>
      </c>
      <c r="B1" s="205"/>
      <c r="C1" s="205"/>
      <c r="D1" s="205"/>
      <c r="E1" s="205"/>
      <c r="F1" s="205"/>
      <c r="G1" s="205"/>
      <c r="H1" s="205"/>
    </row>
    <row r="2" spans="1:15" ht="18" customHeight="1" x14ac:dyDescent="0.2">
      <c r="A2" s="206" t="s">
        <v>160</v>
      </c>
      <c r="B2" s="205"/>
      <c r="C2" s="205"/>
      <c r="D2" s="205"/>
      <c r="E2" s="205"/>
      <c r="F2" s="205"/>
      <c r="G2" s="205"/>
      <c r="H2" s="205"/>
    </row>
    <row r="3" spans="1:15" ht="18" customHeight="1" x14ac:dyDescent="0.2">
      <c r="B3" s="188" t="s">
        <v>161</v>
      </c>
      <c r="C3" s="189" t="s">
        <v>95</v>
      </c>
      <c r="D3" s="189" t="s">
        <v>116</v>
      </c>
      <c r="E3" s="189" t="s">
        <v>96</v>
      </c>
      <c r="F3" s="189" t="s">
        <v>143</v>
      </c>
      <c r="G3" s="189" t="s">
        <v>144</v>
      </c>
      <c r="H3" s="189" t="s">
        <v>100</v>
      </c>
      <c r="I3" s="189" t="s">
        <v>145</v>
      </c>
      <c r="J3" s="189" t="s">
        <v>146</v>
      </c>
      <c r="L3" s="188" t="s">
        <v>162</v>
      </c>
      <c r="M3" s="207" t="s">
        <v>163</v>
      </c>
      <c r="N3" s="205"/>
      <c r="O3" s="205"/>
    </row>
    <row r="4" spans="1:15" ht="18" customHeight="1" x14ac:dyDescent="0.2">
      <c r="B4" s="190" t="s">
        <v>110</v>
      </c>
      <c r="C4" s="198">
        <v>19.199999999999928</v>
      </c>
      <c r="D4" s="198">
        <v>0</v>
      </c>
      <c r="E4" s="198">
        <v>0</v>
      </c>
      <c r="F4" s="198">
        <v>10.799999999999999</v>
      </c>
      <c r="G4" s="198">
        <v>0</v>
      </c>
      <c r="H4" s="198">
        <v>0</v>
      </c>
      <c r="I4" s="198">
        <v>7.4838283718274578E-14</v>
      </c>
      <c r="J4" s="198">
        <v>0</v>
      </c>
      <c r="L4" s="203">
        <f>SUM(C4:J4)</f>
        <v>30.000000000000004</v>
      </c>
      <c r="M4" s="192" t="s">
        <v>164</v>
      </c>
      <c r="N4" s="189" t="s">
        <v>157</v>
      </c>
      <c r="O4" s="189" t="s">
        <v>165</v>
      </c>
    </row>
    <row r="5" spans="1:15" ht="18" customHeight="1" x14ac:dyDescent="0.2">
      <c r="B5" s="190" t="s">
        <v>114</v>
      </c>
      <c r="C5" s="198">
        <v>0</v>
      </c>
      <c r="D5" s="198">
        <v>26.400000000000013</v>
      </c>
      <c r="E5" s="198">
        <v>0</v>
      </c>
      <c r="F5" s="198">
        <v>0</v>
      </c>
      <c r="G5" s="198">
        <v>10.799999999999997</v>
      </c>
      <c r="H5" s="198">
        <v>0</v>
      </c>
      <c r="I5" s="198">
        <v>0</v>
      </c>
      <c r="J5" s="198">
        <v>0</v>
      </c>
      <c r="L5" s="203">
        <f>SUM(C5:J5)</f>
        <v>37.20000000000001</v>
      </c>
      <c r="M5" s="192" t="s">
        <v>96</v>
      </c>
      <c r="N5" s="199">
        <v>1</v>
      </c>
      <c r="O5" s="199">
        <v>1</v>
      </c>
    </row>
    <row r="6" spans="1:15" ht="18" customHeight="1" x14ac:dyDescent="0.2">
      <c r="B6" s="190" t="s">
        <v>117</v>
      </c>
      <c r="C6" s="198">
        <v>5.4000000000000101</v>
      </c>
      <c r="D6" s="198">
        <v>0</v>
      </c>
      <c r="E6" s="198">
        <v>14.39999999999999</v>
      </c>
      <c r="F6" s="198">
        <v>0</v>
      </c>
      <c r="G6" s="198">
        <v>0</v>
      </c>
      <c r="H6" s="198">
        <v>0</v>
      </c>
      <c r="I6" s="198">
        <v>0</v>
      </c>
      <c r="J6" s="198">
        <v>0</v>
      </c>
      <c r="L6" s="203">
        <f>SUM(C6:J6)</f>
        <v>19.8</v>
      </c>
      <c r="M6" s="192" t="s">
        <v>143</v>
      </c>
      <c r="N6" s="199">
        <v>1</v>
      </c>
      <c r="O6" s="199">
        <v>0</v>
      </c>
    </row>
    <row r="7" spans="1:15" ht="18" customHeight="1" x14ac:dyDescent="0.2">
      <c r="M7" s="193" t="s">
        <v>144</v>
      </c>
      <c r="N7" s="199">
        <v>1</v>
      </c>
      <c r="O7" s="199">
        <v>0</v>
      </c>
    </row>
    <row r="8" spans="1:15" ht="18" customHeight="1" x14ac:dyDescent="0.2">
      <c r="M8" s="193" t="s">
        <v>100</v>
      </c>
      <c r="N8" s="199">
        <v>0</v>
      </c>
      <c r="O8" s="199">
        <v>0</v>
      </c>
    </row>
    <row r="9" spans="1:15" ht="18" customHeight="1" x14ac:dyDescent="0.2">
      <c r="A9" s="206" t="s">
        <v>166</v>
      </c>
      <c r="B9" s="205"/>
      <c r="C9" s="205"/>
      <c r="D9" s="205"/>
      <c r="E9" s="205"/>
      <c r="F9" s="205"/>
      <c r="G9" s="205"/>
      <c r="H9" s="205"/>
      <c r="M9" s="193" t="s">
        <v>145</v>
      </c>
      <c r="N9" s="199">
        <v>0</v>
      </c>
      <c r="O9" s="199">
        <v>0</v>
      </c>
    </row>
    <row r="10" spans="1:15" ht="18" customHeight="1" x14ac:dyDescent="0.2">
      <c r="B10" s="188" t="s">
        <v>161</v>
      </c>
      <c r="C10" s="189" t="s">
        <v>95</v>
      </c>
      <c r="D10" s="189" t="s">
        <v>96</v>
      </c>
      <c r="E10" s="189" t="s">
        <v>97</v>
      </c>
      <c r="F10" s="189" t="s">
        <v>98</v>
      </c>
      <c r="G10" s="189" t="s">
        <v>99</v>
      </c>
      <c r="H10" s="189" t="s">
        <v>100</v>
      </c>
      <c r="I10" s="189" t="s">
        <v>127</v>
      </c>
      <c r="K10" s="188" t="s">
        <v>162</v>
      </c>
      <c r="M10" s="193" t="s">
        <v>146</v>
      </c>
      <c r="N10" s="199">
        <v>0</v>
      </c>
      <c r="O10" s="199">
        <v>0</v>
      </c>
    </row>
    <row r="11" spans="1:15" ht="18" customHeight="1" x14ac:dyDescent="0.2">
      <c r="B11" s="190" t="s">
        <v>95</v>
      </c>
      <c r="C11" s="198">
        <v>150</v>
      </c>
      <c r="D11" s="198">
        <v>20.00000000000011</v>
      </c>
      <c r="E11" s="198">
        <v>0</v>
      </c>
      <c r="F11" s="198">
        <v>34.999999999999424</v>
      </c>
      <c r="G11" s="198">
        <v>0</v>
      </c>
      <c r="H11" s="198">
        <v>0</v>
      </c>
      <c r="I11" s="198">
        <v>0</v>
      </c>
      <c r="K11" s="203">
        <f t="shared" ref="K11:K18" si="0">SUM(C11:I11)</f>
        <v>204.99999999999955</v>
      </c>
    </row>
    <row r="12" spans="1:15" x14ac:dyDescent="0.2">
      <c r="B12" s="190" t="s">
        <v>116</v>
      </c>
      <c r="C12" s="198">
        <v>0</v>
      </c>
      <c r="D12" s="198">
        <v>0</v>
      </c>
      <c r="E12" s="198">
        <v>0</v>
      </c>
      <c r="F12" s="198">
        <v>0</v>
      </c>
      <c r="G12" s="198">
        <v>130</v>
      </c>
      <c r="H12" s="198">
        <v>89.999999999999972</v>
      </c>
      <c r="I12" s="198">
        <v>0</v>
      </c>
      <c r="K12" s="203">
        <f t="shared" si="0"/>
        <v>219.99999999999997</v>
      </c>
      <c r="M12" s="30" t="s">
        <v>103</v>
      </c>
    </row>
    <row r="13" spans="1:15" ht="13.5" thickBot="1" x14ac:dyDescent="0.25">
      <c r="B13" s="190" t="s">
        <v>96</v>
      </c>
      <c r="C13" s="198">
        <v>0</v>
      </c>
      <c r="D13" s="198">
        <v>89.999999999999915</v>
      </c>
      <c r="E13" s="198">
        <v>0</v>
      </c>
      <c r="F13" s="198">
        <v>0</v>
      </c>
      <c r="G13" s="198">
        <v>0</v>
      </c>
      <c r="H13" s="198">
        <v>0</v>
      </c>
      <c r="I13" s="198">
        <v>30</v>
      </c>
      <c r="K13" s="203">
        <f t="shared" si="0"/>
        <v>119.99999999999991</v>
      </c>
    </row>
    <row r="14" spans="1:15" ht="13.5" thickTop="1" x14ac:dyDescent="0.2">
      <c r="B14" s="190" t="s">
        <v>143</v>
      </c>
      <c r="C14" s="198">
        <v>0</v>
      </c>
      <c r="D14" s="198">
        <v>0</v>
      </c>
      <c r="E14" s="198">
        <v>20.000000000000014</v>
      </c>
      <c r="F14" s="198">
        <v>69.999999999999943</v>
      </c>
      <c r="G14" s="198">
        <v>0</v>
      </c>
      <c r="H14" s="198">
        <v>0</v>
      </c>
      <c r="I14" s="198">
        <v>0</v>
      </c>
      <c r="K14" s="203">
        <f t="shared" si="0"/>
        <v>89.999999999999957</v>
      </c>
      <c r="M14" s="17" t="s">
        <v>105</v>
      </c>
      <c r="N14" s="32"/>
    </row>
    <row r="15" spans="1:15" x14ac:dyDescent="0.2">
      <c r="B15" s="190" t="s">
        <v>144</v>
      </c>
      <c r="C15" s="198">
        <v>0</v>
      </c>
      <c r="D15" s="198">
        <v>0</v>
      </c>
      <c r="E15" s="198">
        <v>80</v>
      </c>
      <c r="F15" s="198">
        <v>0</v>
      </c>
      <c r="G15" s="198">
        <v>9.9999999999999716</v>
      </c>
      <c r="H15" s="198">
        <v>0</v>
      </c>
      <c r="I15" s="198">
        <v>0</v>
      </c>
      <c r="K15" s="203">
        <f t="shared" si="0"/>
        <v>89.999999999999972</v>
      </c>
      <c r="M15" s="40"/>
      <c r="N15" s="38" t="s">
        <v>108</v>
      </c>
    </row>
    <row r="16" spans="1:15" x14ac:dyDescent="0.2">
      <c r="B16" s="190" t="s">
        <v>100</v>
      </c>
      <c r="C16" s="198">
        <v>0</v>
      </c>
      <c r="D16" s="198">
        <v>0</v>
      </c>
      <c r="E16" s="198">
        <v>0</v>
      </c>
      <c r="F16" s="198">
        <v>0</v>
      </c>
      <c r="G16" s="198">
        <v>0</v>
      </c>
      <c r="H16" s="198">
        <v>0</v>
      </c>
      <c r="I16" s="198">
        <v>0</v>
      </c>
      <c r="K16" s="203">
        <f t="shared" si="0"/>
        <v>0</v>
      </c>
      <c r="M16" s="22" t="s">
        <v>110</v>
      </c>
      <c r="N16" s="85">
        <v>30</v>
      </c>
    </row>
    <row r="17" spans="1:14" x14ac:dyDescent="0.2">
      <c r="B17" s="190" t="s">
        <v>145</v>
      </c>
      <c r="C17" s="198">
        <v>0</v>
      </c>
      <c r="D17" s="198">
        <v>0</v>
      </c>
      <c r="E17" s="198">
        <v>0</v>
      </c>
      <c r="F17" s="198">
        <v>6.2128080458024124E-13</v>
      </c>
      <c r="G17" s="198">
        <v>0</v>
      </c>
      <c r="H17" s="198">
        <v>0</v>
      </c>
      <c r="I17" s="198">
        <v>0</v>
      </c>
      <c r="K17" s="203">
        <f t="shared" si="0"/>
        <v>6.2128080458024124E-13</v>
      </c>
      <c r="M17" s="22" t="s">
        <v>114</v>
      </c>
      <c r="N17" s="86">
        <v>68</v>
      </c>
    </row>
    <row r="18" spans="1:14" ht="13.5" thickBot="1" x14ac:dyDescent="0.25">
      <c r="B18" s="190" t="s">
        <v>146</v>
      </c>
      <c r="C18" s="198">
        <v>0</v>
      </c>
      <c r="D18" s="198">
        <v>0</v>
      </c>
      <c r="E18" s="198">
        <v>0</v>
      </c>
      <c r="F18" s="198">
        <v>0</v>
      </c>
      <c r="G18" s="198">
        <v>0</v>
      </c>
      <c r="H18" s="198">
        <v>0</v>
      </c>
      <c r="I18" s="198">
        <v>0</v>
      </c>
      <c r="K18" s="203">
        <f t="shared" si="0"/>
        <v>0</v>
      </c>
      <c r="M18" s="23" t="s">
        <v>117</v>
      </c>
      <c r="N18" s="81">
        <v>20</v>
      </c>
    </row>
    <row r="19" spans="1:14" ht="13.5" thickTop="1" x14ac:dyDescent="0.2"/>
    <row r="20" spans="1:14" ht="25.5" x14ac:dyDescent="0.2">
      <c r="B20" s="194" t="s">
        <v>167</v>
      </c>
      <c r="C20" s="203">
        <f t="shared" ref="C20:I20" si="1">SUM(C11:C18)</f>
        <v>150</v>
      </c>
      <c r="D20" s="203">
        <f t="shared" si="1"/>
        <v>110.00000000000003</v>
      </c>
      <c r="E20" s="203">
        <f t="shared" si="1"/>
        <v>100.00000000000001</v>
      </c>
      <c r="F20" s="203">
        <f t="shared" si="1"/>
        <v>105</v>
      </c>
      <c r="G20" s="203">
        <f t="shared" si="1"/>
        <v>139.99999999999997</v>
      </c>
      <c r="H20" s="203">
        <f t="shared" si="1"/>
        <v>89.999999999999972</v>
      </c>
      <c r="I20" s="203">
        <f t="shared" si="1"/>
        <v>30</v>
      </c>
    </row>
    <row r="21" spans="1:14" x14ac:dyDescent="0.2">
      <c r="B21" s="194" t="s">
        <v>93</v>
      </c>
      <c r="C21" s="202">
        <f>LongTermData!$M$26</f>
        <v>150</v>
      </c>
      <c r="D21" s="202">
        <f>LongTermData!$M$27</f>
        <v>110</v>
      </c>
      <c r="E21" s="202">
        <f>LongTermData!$M$28</f>
        <v>100</v>
      </c>
      <c r="F21" s="202">
        <f>LongTermData!$M$29</f>
        <v>105</v>
      </c>
      <c r="G21" s="202">
        <f>LongTermData!$M$30</f>
        <v>140</v>
      </c>
      <c r="H21" s="202">
        <f>LongTermData!$M$31</f>
        <v>90</v>
      </c>
      <c r="I21" s="202">
        <f>LongTermData!$M$32</f>
        <v>30</v>
      </c>
    </row>
    <row r="23" spans="1:14" x14ac:dyDescent="0.2">
      <c r="A23" s="204" t="s">
        <v>168</v>
      </c>
      <c r="B23" s="205"/>
      <c r="C23" s="205"/>
      <c r="D23" s="205"/>
      <c r="E23" s="205"/>
      <c r="F23" s="205"/>
      <c r="G23" s="205"/>
      <c r="H23" s="205"/>
    </row>
    <row r="24" spans="1:14" x14ac:dyDescent="0.2">
      <c r="A24" s="187" t="s">
        <v>169</v>
      </c>
      <c r="D24" s="195">
        <f>LongTermData!$M$17</f>
        <v>8.3333333333333339</v>
      </c>
    </row>
    <row r="26" spans="1:14" x14ac:dyDescent="0.2">
      <c r="A26" s="193" t="s">
        <v>170</v>
      </c>
      <c r="B26" s="193" t="s">
        <v>171</v>
      </c>
      <c r="C26" s="193" t="s">
        <v>172</v>
      </c>
      <c r="D26" s="193" t="s">
        <v>173</v>
      </c>
      <c r="E26" s="193" t="s">
        <v>131</v>
      </c>
    </row>
    <row r="27" spans="1:14" x14ac:dyDescent="0.2">
      <c r="A27" s="196" t="s">
        <v>95</v>
      </c>
      <c r="B27" s="191">
        <f>SUM(C4:C6)</f>
        <v>24.599999999999937</v>
      </c>
      <c r="C27" s="191">
        <f t="shared" ref="C27:C34" si="2">$D$24*B27</f>
        <v>204.99999999999949</v>
      </c>
      <c r="D27" s="191">
        <f t="shared" ref="D27:D34" si="3">K11</f>
        <v>204.99999999999955</v>
      </c>
      <c r="E27" s="191">
        <f>LongTermData!$S$8</f>
        <v>250</v>
      </c>
    </row>
    <row r="28" spans="1:14" x14ac:dyDescent="0.2">
      <c r="A28" s="196" t="s">
        <v>116</v>
      </c>
      <c r="B28" s="191">
        <f>SUM(D4:D6)</f>
        <v>26.400000000000013</v>
      </c>
      <c r="C28" s="191">
        <f t="shared" si="2"/>
        <v>220.00000000000011</v>
      </c>
      <c r="D28" s="191">
        <f t="shared" si="3"/>
        <v>219.99999999999997</v>
      </c>
      <c r="E28" s="191">
        <f>LongTermData!$S$9</f>
        <v>220</v>
      </c>
    </row>
    <row r="29" spans="1:14" x14ac:dyDescent="0.2">
      <c r="A29" s="196" t="s">
        <v>96</v>
      </c>
      <c r="B29" s="191">
        <f>SUM(E4:E6)</f>
        <v>14.39999999999999</v>
      </c>
      <c r="C29" s="191">
        <f t="shared" si="2"/>
        <v>119.99999999999993</v>
      </c>
      <c r="D29" s="191">
        <f t="shared" si="3"/>
        <v>119.99999999999991</v>
      </c>
      <c r="E29" s="191">
        <f>(LongTermData!$S$11*N5)+(LongTermData!$T$11*O5)</f>
        <v>120</v>
      </c>
    </row>
    <row r="30" spans="1:14" x14ac:dyDescent="0.2">
      <c r="A30" s="196" t="s">
        <v>143</v>
      </c>
      <c r="B30" s="191">
        <f>SUM(F4:F6)</f>
        <v>10.799999999999999</v>
      </c>
      <c r="C30" s="191">
        <f t="shared" si="2"/>
        <v>90</v>
      </c>
      <c r="D30" s="191">
        <f t="shared" si="3"/>
        <v>89.999999999999957</v>
      </c>
      <c r="E30" s="191">
        <f>(LongTermData!$S$12*N6)+(LongTermData!$T$12*O6)</f>
        <v>90</v>
      </c>
    </row>
    <row r="31" spans="1:14" x14ac:dyDescent="0.2">
      <c r="A31" s="196" t="s">
        <v>144</v>
      </c>
      <c r="B31" s="191">
        <f>SUM(G4:G6)</f>
        <v>10.799999999999997</v>
      </c>
      <c r="C31" s="191">
        <f t="shared" si="2"/>
        <v>89.999999999999986</v>
      </c>
      <c r="D31" s="191">
        <f t="shared" si="3"/>
        <v>89.999999999999972</v>
      </c>
      <c r="E31" s="191">
        <f>(LongTermData!$S$13*N7)+(LongTermData!$T$13*O7)</f>
        <v>90</v>
      </c>
    </row>
    <row r="32" spans="1:14" x14ac:dyDescent="0.2">
      <c r="A32" s="196" t="s">
        <v>100</v>
      </c>
      <c r="B32" s="191">
        <f>SUM(H4:H6)</f>
        <v>0</v>
      </c>
      <c r="C32" s="191">
        <f t="shared" si="2"/>
        <v>0</v>
      </c>
      <c r="D32" s="191">
        <f t="shared" si="3"/>
        <v>0</v>
      </c>
      <c r="E32" s="191">
        <f>(LongTermData!$S$14*N8)+(LongTermData!$T$14*O8)</f>
        <v>0</v>
      </c>
    </row>
    <row r="33" spans="1:5" x14ac:dyDescent="0.2">
      <c r="A33" s="196" t="s">
        <v>145</v>
      </c>
      <c r="B33" s="191">
        <f>SUM(I4:I6)</f>
        <v>7.4838283718274578E-14</v>
      </c>
      <c r="C33" s="191">
        <f t="shared" si="2"/>
        <v>6.2365236431895484E-13</v>
      </c>
      <c r="D33" s="191">
        <f t="shared" si="3"/>
        <v>6.2128080458024124E-13</v>
      </c>
      <c r="E33" s="191">
        <f>(LongTermData!$S$15*N9)+(LongTermData!$T$15*O9)</f>
        <v>0</v>
      </c>
    </row>
    <row r="34" spans="1:5" x14ac:dyDescent="0.2">
      <c r="A34" s="196" t="s">
        <v>146</v>
      </c>
      <c r="B34" s="191">
        <f>SUM(J4:J6)</f>
        <v>0</v>
      </c>
      <c r="C34" s="191">
        <f t="shared" si="2"/>
        <v>0</v>
      </c>
      <c r="D34" s="191">
        <f t="shared" si="3"/>
        <v>0</v>
      </c>
      <c r="E34" s="191">
        <f>(LongTermData!$S$16*N10)+(LongTermData!$T$16*O10)</f>
        <v>0</v>
      </c>
    </row>
    <row r="37" spans="1:5" x14ac:dyDescent="0.2">
      <c r="A37" s="206" t="s">
        <v>174</v>
      </c>
      <c r="B37" s="205"/>
      <c r="C37" s="205"/>
      <c r="D37" s="205"/>
      <c r="E37" s="205"/>
    </row>
    <row r="38" spans="1:5" x14ac:dyDescent="0.2">
      <c r="A38" s="187" t="s">
        <v>175</v>
      </c>
      <c r="B38" s="201">
        <f>SUMPRODUCT(C4:J6,LongTermData!$C$9:$J$11)</f>
        <v>1.6197672000000003</v>
      </c>
    </row>
    <row r="39" spans="1:5" x14ac:dyDescent="0.2">
      <c r="A39" s="187" t="s">
        <v>176</v>
      </c>
      <c r="B39" s="201">
        <f>SUMPRODUCT(C11:I18,LongTermData!$D$18:$J$25)</f>
        <v>12.059642857142864</v>
      </c>
    </row>
    <row r="40" spans="1:5" x14ac:dyDescent="0.2">
      <c r="A40" s="187" t="s">
        <v>177</v>
      </c>
      <c r="B40" s="201">
        <f>SUMPRODUCT(N5:N10,LongTermData!D32:D37)+SUMPRODUCT(O5:O10,LongTermData!E32:E37)</f>
        <v>13.5</v>
      </c>
    </row>
    <row r="41" spans="1:5" ht="15.75" x14ac:dyDescent="0.25">
      <c r="A41" s="197" t="s">
        <v>178</v>
      </c>
      <c r="B41" s="200">
        <f>SUM(B38:B40)</f>
        <v>27.179410057142864</v>
      </c>
    </row>
  </sheetData>
  <mergeCells count="6">
    <mergeCell ref="A37:E37"/>
    <mergeCell ref="A1:H1"/>
    <mergeCell ref="A2:H2"/>
    <mergeCell ref="M3:O3"/>
    <mergeCell ref="A9:H9"/>
    <mergeCell ref="A23:H23"/>
  </mergeCells>
  <pageMargins left="0.75" right="0.75" top="1" bottom="1" header="0.5" footer="0.5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276B-3023-4613-9A54-887B8EDAFC07}">
  <dimension ref="A8:B15"/>
  <sheetViews>
    <sheetView workbookViewId="0"/>
  </sheetViews>
  <sheetFormatPr defaultRowHeight="12.75" x14ac:dyDescent="0.2"/>
  <sheetData>
    <row r="8" spans="1:2" x14ac:dyDescent="0.2">
      <c r="A8" s="143"/>
      <c r="B8" s="143"/>
    </row>
    <row r="15" spans="1:2" x14ac:dyDescent="0.2">
      <c r="B15" s="14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3F13B0E21B1B4CB4C7855F2F784BC0" ma:contentTypeVersion="5" ma:contentTypeDescription="Create a new document." ma:contentTypeScope="" ma:versionID="bc626f2359daf30e139279bc9a76e07f">
  <xsd:schema xmlns:xsd="http://www.w3.org/2001/XMLSchema" xmlns:xs="http://www.w3.org/2001/XMLSchema" xmlns:p="http://schemas.microsoft.com/office/2006/metadata/properties" xmlns:ns3="0733af43-352c-461a-ae27-6a981c8990ca" targetNamespace="http://schemas.microsoft.com/office/2006/metadata/properties" ma:root="true" ma:fieldsID="7194e6c77b828ca407e599090787f69c" ns3:_="">
    <xsd:import namespace="0733af43-352c-461a-ae27-6a981c8990c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af43-352c-461a-ae27-6a981c8990c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33af43-352c-461a-ae27-6a981c8990ca" xsi:nil="true"/>
  </documentManagement>
</p:properties>
</file>

<file path=customXml/itemProps1.xml><?xml version="1.0" encoding="utf-8"?>
<ds:datastoreItem xmlns:ds="http://schemas.openxmlformats.org/officeDocument/2006/customXml" ds:itemID="{32FA16C6-330E-4791-8E2B-395A6A35C3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33af43-352c-461a-ae27-6a981c8990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38C6FF-8979-499D-8D62-3F2D5BC86A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BB1889-2397-46C7-B397-3B2392A91D29}">
  <ds:schemaRefs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0733af43-352c-461a-ae27-6a981c8990c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Sensitivity Report 1</vt:lpstr>
      <vt:lpstr>Sensitivity Report 2</vt:lpstr>
      <vt:lpstr>Current</vt:lpstr>
      <vt:lpstr>LongTermData</vt:lpstr>
      <vt:lpstr>LongTermModel</vt:lpstr>
      <vt:lpstr>LongTermModel (2)</vt:lpstr>
      <vt:lpstr>LongTermModel (3)</vt:lpstr>
      <vt:lpstr>LongTermModel (4)</vt:lpstr>
      <vt:lpstr>LongTermModel (5)</vt:lpstr>
      <vt:lpstr>LongTermModel (6)</vt:lpstr>
      <vt:lpstr>LongTermModel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Sibel Salman and Murat Koksalan</dc:creator>
  <cp:lastModifiedBy>Hsiao-Frates, Benjamin</cp:lastModifiedBy>
  <cp:lastPrinted>2003-04-22T15:33:21Z</cp:lastPrinted>
  <dcterms:created xsi:type="dcterms:W3CDTF">1999-05-07T21:16:48Z</dcterms:created>
  <dcterms:modified xsi:type="dcterms:W3CDTF">2026-02-16T03:57:11Z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-1166517355</vt:i4>
  </property>
  <property fmtid="{D5CDD505-2E9C-101B-9397-08002B2CF9AE}" pid="3" name="_EmailSubject">
    <vt:lpwstr>efes mip solution file</vt:lpwstr>
  </property>
  <property fmtid="{D5CDD505-2E9C-101B-9397-08002B2CF9AE}" pid="4" name="_AuthorEmail">
    <vt:lpwstr>ikim@mgmt.purdue.edu</vt:lpwstr>
  </property>
  <property fmtid="{D5CDD505-2E9C-101B-9397-08002B2CF9AE}" pid="5" name="_AuthorEmailDisplayName">
    <vt:lpwstr>Ilhyung Kim</vt:lpwstr>
  </property>
  <property fmtid="{D5CDD505-2E9C-101B-9397-08002B2CF9AE}" pid="6" name="_ReviewingToolsShownOnce">
    <vt:lpwstr/>
  </property>
  <property fmtid="{D5CDD505-2E9C-101B-9397-08002B2CF9AE}" pid="7" name="ContentTypeId">
    <vt:lpwstr>0x010100833F13B0E21B1B4CB4C7855F2F784BC0</vt:lpwstr>
  </property>
</Properties>
</file>